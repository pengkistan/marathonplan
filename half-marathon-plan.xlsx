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lan" sheetId="2" state="visible" r:id="rId4"/>
    <sheet name="Weekly" sheetId="3" state="visible" r:id="rId5"/>
    <sheet name="Paces" sheetId="4" state="visible" r:id="rId6"/>
    <sheet name="Gym" sheetId="5" state="visible" r:id="rId7"/>
  </sheets>
  <definedNames>
    <definedName function="false" hidden="true" localSheetId="1" name="_xlnm._FilterDatabase" vbProcedure="false">Plan!$A$1:$P$105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Workouts from the plan document. Target column shows the pace for the VDOT in column H.</t>
        </r>
      </text>
    </comment>
  </commentList>
</comments>
</file>

<file path=xl/sharedStrings.xml><?xml version="1.0" encoding="utf-8"?>
<sst xmlns="http://schemas.openxmlformats.org/spreadsheetml/2006/main" count="719" uniqueCount="285">
  <si>
    <t xml:space="preserve">Half Marathon Plan, race on Sat Feb 6, 2027</t>
  </si>
  <si>
    <t xml:space="preserve">15 weeks from Mon Oct 26, 2026. Same plan as the web app and the full plan document.</t>
  </si>
  <si>
    <t xml:space="preserve">Days to race</t>
  </si>
  <si>
    <t xml:space="preserve">Your inputs (yellow cells)</t>
  </si>
  <si>
    <t xml:space="preserve">Max heart rate (bpm)</t>
  </si>
  <si>
    <t xml:space="preserve">Highest seen in your Strava data (10K on Aug 7, 2026). Change it if you see higher.</t>
  </si>
  <si>
    <t xml:space="preserve">Starting VDOT (Base phase)</t>
  </si>
  <si>
    <t xml:space="preserve">From your 5K 28:26 (Feb 4) and 10K 59:54 (Aug 7).</t>
  </si>
  <si>
    <t xml:space="preserve">5K test, Sat Nov 21: minutes / seconds</t>
  </si>
  <si>
    <t xml:space="preserve">Example: 27 in the first box and 50 in the second for 27:50.</t>
  </si>
  <si>
    <t xml:space="preserve">10K test, Sat Dec 19: minutes / seconds</t>
  </si>
  <si>
    <t xml:space="preserve">Example: 58 and 30 for 58:30. Over an hour? Enter 61 and 5 for 1:01:05.</t>
  </si>
  <si>
    <t xml:space="preserve">What your tests say</t>
  </si>
  <si>
    <t xml:space="preserve">VDOT from 5K test</t>
  </si>
  <si>
    <t xml:space="preserve">Rounded down to the VDOT row your time reaches (Daniels, table 5.1).</t>
  </si>
  <si>
    <t xml:space="preserve">VDOT from 10K test</t>
  </si>
  <si>
    <t xml:space="preserve">Build-phase VDOT (weeks 5–9)</t>
  </si>
  <si>
    <t xml:space="preserve">Race-phase VDOT (weeks 10–15)</t>
  </si>
  <si>
    <t xml:space="preserve">Predicted half marathon</t>
  </si>
  <si>
    <t xml:space="preserve">Plan target: 2:07:16 (VDOT 34). Stretch: 2:04:13 (VDOT 35).</t>
  </si>
  <si>
    <t xml:space="preserve">Half-marathon pace</t>
  </si>
  <si>
    <t xml:space="preserve">How to use it</t>
  </si>
  <si>
    <t xml:space="preserve">1. Plan sheet: one row per day. Target paces update from your VDOT in the yellow cells above.</t>
  </si>
  <si>
    <t xml:space="preserve">2. After each run, set Done to Yes and fill in Actual km, Time, Avg HR, Feel (1 very easy to 5 very hard) and Notes.</t>
  </si>
  <si>
    <t xml:space="preserve">3. Type time as h:mm:ss, for example 0:41:20. Typing 41:20 means 41 hours in Excel and Google Sheets.</t>
  </si>
  <si>
    <t xml:space="preserve">4. Weekly sheet totals planned and logged km for each week and charts them.</t>
  </si>
  <si>
    <t xml:space="preserve">5. Move up a VDOT only after a test, and not more often than every third week (Daniels).</t>
  </si>
  <si>
    <t xml:space="preserve">Example of a logged run (copy the format into the Plan sheet)</t>
  </si>
  <si>
    <t xml:space="preserve">Done</t>
  </si>
  <si>
    <t xml:space="preserve">Actual km</t>
  </si>
  <si>
    <t xml:space="preserve">Time</t>
  </si>
  <si>
    <t xml:space="preserve">Avg HR</t>
  </si>
  <si>
    <t xml:space="preserve">Feel (1–5)</t>
  </si>
  <si>
    <t xml:space="preserve">Notes</t>
  </si>
  <si>
    <t xml:space="preserve">Yes</t>
  </si>
  <si>
    <t xml:space="preserve">Humid; reps felt controlled</t>
  </si>
  <si>
    <t xml:space="preserve">Links</t>
  </si>
  <si>
    <t xml:space="preserve">Web app (phone)</t>
  </si>
  <si>
    <t xml:space="preserve">https://pengkistan.github.io/marathonplan/</t>
  </si>
  <si>
    <t xml:space="preserve">Full plan with sources</t>
  </si>
  <si>
    <t xml:space="preserve">https://claude.ai/artifact/BErnvi4zztgJg9Htm676nq</t>
  </si>
  <si>
    <t xml:space="preserve">Date</t>
  </si>
  <si>
    <t xml:space="preserve">Week</t>
  </si>
  <si>
    <t xml:space="preserve">Phase</t>
  </si>
  <si>
    <t xml:space="preserve">Day</t>
  </si>
  <si>
    <t xml:space="preserve">Session</t>
  </si>
  <si>
    <t xml:space="preserve">Workout</t>
  </si>
  <si>
    <t xml:space="preserve">Planned km</t>
  </si>
  <si>
    <t xml:space="preserve">VDOT</t>
  </si>
  <si>
    <t xml:space="preserve">Target</t>
  </si>
  <si>
    <t xml:space="preserve">Pace /km</t>
  </si>
  <si>
    <t xml:space="preserve">Key</t>
  </si>
  <si>
    <t xml:space="preserve">Base</t>
  </si>
  <si>
    <t xml:space="preserve">Mon</t>
  </si>
  <si>
    <t xml:space="preserve">Rest</t>
  </si>
  <si>
    <t xml:space="preserve">Rest day. Optional 10 min core at home on Mon or Fri.</t>
  </si>
  <si>
    <t xml:space="preserve">Tue</t>
  </si>
  <si>
    <t xml:space="preserve">Threshold</t>
  </si>
  <si>
    <t xml:space="preserve">2 km easy · 3 × 1 km at T, 1 min jog · 1.5 km easy</t>
  </si>
  <si>
    <t xml:space="preserve">T pace</t>
  </si>
  <si>
    <t xml:space="preserve">Wed</t>
  </si>
  <si>
    <t xml:space="preserve">Easy + strides</t>
  </si>
  <si>
    <t xml:space="preserve">Easy 35 min + 6 strides</t>
  </si>
  <si>
    <t xml:space="preserve">E</t>
  </si>
  <si>
    <t xml:space="preserve">Thu</t>
  </si>
  <si>
    <t xml:space="preserve">Easy + hill sprints</t>
  </si>
  <si>
    <t xml:space="preserve">Easy 35 min + 2 hill sprints (8 s)</t>
  </si>
  <si>
    <t xml:space="preserve">Fri</t>
  </si>
  <si>
    <t xml:space="preserve">Sat</t>
  </si>
  <si>
    <t xml:space="preserve">Long run</t>
  </si>
  <si>
    <t xml:space="preserve">Long 12 km easy, early morning</t>
  </si>
  <si>
    <t xml:space="preserve">L</t>
  </si>
  <si>
    <t xml:space="preserve">Sun</t>
  </si>
  <si>
    <t xml:space="preserve">Recovery</t>
  </si>
  <si>
    <t xml:space="preserve">Recovery 30 min</t>
  </si>
  <si>
    <t xml:space="preserve">REC</t>
  </si>
  <si>
    <t xml:space="preserve">2 km easy · 2 × 1.6 km at T, 2 min jog · 1.5 km easy</t>
  </si>
  <si>
    <t xml:space="preserve">Easy 40 min + 6 strides</t>
  </si>
  <si>
    <t xml:space="preserve">Easy 35 min + 4 hill sprints (8 s)</t>
  </si>
  <si>
    <t xml:space="preserve">Long 12 km easy</t>
  </si>
  <si>
    <t xml:space="preserve">2 km easy · 4 × 5 min at T, 1 min jog · 1.5 km easy</t>
  </si>
  <si>
    <t xml:space="preserve">Easy 40 min + 8 strides</t>
  </si>
  <si>
    <t xml:space="preserve">Easy 40 min + 6 hill sprints (8 s)</t>
  </si>
  <si>
    <t xml:space="preserve">Long 13 km easy</t>
  </si>
  <si>
    <t xml:space="preserve">Easy 35 min + 6 strides (skip Gym B this week)</t>
  </si>
  <si>
    <t xml:space="preserve">Easy 30 min + 4 strides</t>
  </si>
  <si>
    <t xml:space="preserve">5K time trial</t>
  </si>
  <si>
    <t xml:space="preserve">2 km easy + 4 strides · 5 km hard at an even effort · 1.5 km easy. Enter your time in Paces to set your VDOT for the Build phase.</t>
  </si>
  <si>
    <t xml:space="preserve">Build</t>
  </si>
  <si>
    <t xml:space="preserve">2 km easy · 3 × 7 min at T, 1 min jog · 1.5 km easy</t>
  </si>
  <si>
    <t xml:space="preserve">Easy 40 min + 8 hill sprints (8 s)</t>
  </si>
  <si>
    <t xml:space="preserve">R session</t>
  </si>
  <si>
    <t xml:space="preserve">2 km easy · 8 × 200 m at R, 200 m jog · 1.5 km easy</t>
  </si>
  <si>
    <t xml:space="preserve">R 200 m</t>
  </si>
  <si>
    <t xml:space="preserve">Recovery + strides</t>
  </si>
  <si>
    <t xml:space="preserve">Recovery 35 min + 6 strides</t>
  </si>
  <si>
    <t xml:space="preserve">2 km easy · 2 × 10 min at T, 2 min jog · 1.5 km easy</t>
  </si>
  <si>
    <t xml:space="preserve">Easy 40 min + 8 hill sprints (10 s)</t>
  </si>
  <si>
    <t xml:space="preserve">I session</t>
  </si>
  <si>
    <t xml:space="preserve">2 km easy · 4 × 4 min at I, 3 min jog · 1.5 km easy</t>
  </si>
  <si>
    <t xml:space="preserve">I pace</t>
  </si>
  <si>
    <t xml:space="preserve">Long run, M finish</t>
  </si>
  <si>
    <t xml:space="preserve">Long 13 km: 8 km easy, then 5 km at M</t>
  </si>
  <si>
    <t xml:space="preserve">M pace</t>
  </si>
  <si>
    <t xml:space="preserve">2 km easy · 3 × 8 min at T, 1 min jog · 1.5 km easy</t>
  </si>
  <si>
    <t xml:space="preserve">2 km easy · 6 × 300 m at R, 300 m jog · 1.5 km easy</t>
  </si>
  <si>
    <t xml:space="preserve">R 300 m</t>
  </si>
  <si>
    <t xml:space="preserve">Long 14 km easy</t>
  </si>
  <si>
    <t xml:space="preserve">Easy 40 min + 4 hill sprints (10 s) (skip Gym B this week)</t>
  </si>
  <si>
    <t xml:space="preserve">Easy 30 min + 6 strides</t>
  </si>
  <si>
    <t xml:space="preserve">10K time trial or race</t>
  </si>
  <si>
    <t xml:space="preserve">2 km easy + 4 strides · 10 km · 1.5 km easy. Enter your time in Paces: it sets your VDOT and goal pace for the last phase.</t>
  </si>
  <si>
    <t xml:space="preserve">Recovery 30 min (skip Gym A this week)</t>
  </si>
  <si>
    <t xml:space="preserve">Easy 40 min + 6 strides (still recovering from the 10K)</t>
  </si>
  <si>
    <t xml:space="preserve">Easy 40 min + 6 hill sprints (10 s)</t>
  </si>
  <si>
    <t xml:space="preserve">Long 14 km: 9 km easy, then 5 km at M</t>
  </si>
  <si>
    <t xml:space="preserve">Race-specific</t>
  </si>
  <si>
    <t xml:space="preserve">HM pace</t>
  </si>
  <si>
    <t xml:space="preserve">2 km easy · 2 × 2.5 km at HM pace, 2 min jog · 1.5 km easy</t>
  </si>
  <si>
    <t xml:space="preserve">Long 14 km easy. Practise drinking and fuelling on the run.</t>
  </si>
  <si>
    <t xml:space="preserve">2 km easy · 2 × 12 min at T, 2 min jog · 1.5 km easy</t>
  </si>
  <si>
    <t xml:space="preserve">Long run, HM finish</t>
  </si>
  <si>
    <t xml:space="preserve">Long 15 km: 11 km easy, then the last 4 km at HM pace</t>
  </si>
  <si>
    <t xml:space="preserve">Easy 35 min + 6 hill sprints (10 s)</t>
  </si>
  <si>
    <t xml:space="preserve">1.5 km easy · 2 × 3 km at HM pace, 3 min jog · 1 km easy</t>
  </si>
  <si>
    <t xml:space="preserve">Peak long run</t>
  </si>
  <si>
    <t xml:space="preserve">16 km easy (about 2:15, close to race duration), with race fuel</t>
  </si>
  <si>
    <t xml:space="preserve">Recovery 30 min + 6 strides</t>
  </si>
  <si>
    <t xml:space="preserve">Easy 40 min + 6 hill sprints (10 s), the last ones</t>
  </si>
  <si>
    <t xml:space="preserve">Race rehearsal</t>
  </si>
  <si>
    <t xml:space="preserve">3 km easy · 8 km at goal HM pace · 2 km easy. Use race start time, breakfast, shoes and fuel. If it felt close to a race effort, set race pace 5 s/km slower.</t>
  </si>
  <si>
    <t xml:space="preserve">Recovery 35 min (last heavy gym session, 2 sets)</t>
  </si>
  <si>
    <t xml:space="preserve">Taper &amp; race</t>
  </si>
  <si>
    <t xml:space="preserve">2 km easy · 2 × 2 km at HM pace, 2 min jog · 1.5 km easy</t>
  </si>
  <si>
    <t xml:space="preserve">Long run (2/3)</t>
  </si>
  <si>
    <t xml:space="preserve">Long 10 km easy, two-thirds of your usual long run (Daniels: 6 days before the race)</t>
  </si>
  <si>
    <t xml:space="preserve">Easy (optional)</t>
  </si>
  <si>
    <t xml:space="preserve">Easy 25 min, or rest</t>
  </si>
  <si>
    <t xml:space="preserve">Threshold (short)</t>
  </si>
  <si>
    <t xml:space="preserve">2 km easy · 3 × 1 km at T, 2 min rest · 1.5 km easy (Daniels: 3 days before the race)</t>
  </si>
  <si>
    <t xml:space="preserve">Easy</t>
  </si>
  <si>
    <t xml:space="preserve">Easy 25 min</t>
  </si>
  <si>
    <t xml:space="preserve">Rest or shakeout</t>
  </si>
  <si>
    <t xml:space="preserve">Rest, or 20 min easy + 4 strides</t>
  </si>
  <si>
    <t xml:space="preserve">RACE: half marathon</t>
  </si>
  <si>
    <t xml:space="preserve">Warm up 10 min easy + 4 strides. Run the first 3 km a little slower than goal pace, then settle in.</t>
  </si>
  <si>
    <t xml:space="preserve">Planned and logged distance by week</t>
  </si>
  <si>
    <t xml:space="preserve">Updates from the Done and Actual km columns on the Plan sheet. Week 15 includes the race (21.1 km).</t>
  </si>
  <si>
    <t xml:space="preserve">From</t>
  </si>
  <si>
    <t xml:space="preserve">To</t>
  </si>
  <si>
    <t xml:space="preserve">Runs planned</t>
  </si>
  <si>
    <t xml:space="preserve">Runs done</t>
  </si>
  <si>
    <t xml:space="preserve">Logged km</t>
  </si>
  <si>
    <t xml:space="preserve">Logged / planned</t>
  </si>
  <si>
    <t xml:space="preserve">Total</t>
  </si>
  <si>
    <t xml:space="preserve">Training paces and race times by VDOT</t>
  </si>
  <si>
    <t xml:space="preserve">Source: Daniels' Running Formula, 4th ed., tables 5.1 (race times) and 5.2 (training paces). HM pace = half-marathon time ÷ 21.0975 km.</t>
  </si>
  <si>
    <t xml:space="preserve">5K</t>
  </si>
  <si>
    <t xml:space="preserve">10K</t>
  </si>
  <si>
    <t xml:space="preserve">Half</t>
  </si>
  <si>
    <t xml:space="preserve">Easy (Daniels)</t>
  </si>
  <si>
    <t xml:space="preserve">6:24/km</t>
  </si>
  <si>
    <t xml:space="preserve">5:55/km (2:22 per 400 m)</t>
  </si>
  <si>
    <t xml:space="preserve">67 s per 200 m</t>
  </si>
  <si>
    <t xml:space="preserve">101 s per 300 m</t>
  </si>
  <si>
    <t xml:space="preserve">7:03/km</t>
  </si>
  <si>
    <t xml:space="preserve">7:27–8:14/km</t>
  </si>
  <si>
    <t xml:space="preserve">6:14/km</t>
  </si>
  <si>
    <t xml:space="preserve">5:45/km (2:18 per 400 m)</t>
  </si>
  <si>
    <t xml:space="preserve">65 s per 200 m</t>
  </si>
  <si>
    <t xml:space="preserve">98 s per 300 m</t>
  </si>
  <si>
    <t xml:space="preserve">6:52/km</t>
  </si>
  <si>
    <t xml:space="preserve">7:16–8:02/km</t>
  </si>
  <si>
    <t xml:space="preserve">6:05/km</t>
  </si>
  <si>
    <t xml:space="preserve">5:35/km (2:14 per 400 m)</t>
  </si>
  <si>
    <t xml:space="preserve">63 s per 200 m</t>
  </si>
  <si>
    <t xml:space="preserve">95 s per 300 m</t>
  </si>
  <si>
    <t xml:space="preserve">6:40/km</t>
  </si>
  <si>
    <t xml:space="preserve">7:05–7:52/km</t>
  </si>
  <si>
    <t xml:space="preserve">5:56/km</t>
  </si>
  <si>
    <t xml:space="preserve">5:28/km (2:11 per 400 m)</t>
  </si>
  <si>
    <t xml:space="preserve">61 s per 200 m</t>
  </si>
  <si>
    <t xml:space="preserve">92 s per 300 m</t>
  </si>
  <si>
    <t xml:space="preserve">6:30/km</t>
  </si>
  <si>
    <t xml:space="preserve">6:55–7:41/km</t>
  </si>
  <si>
    <t xml:space="preserve">5:48/km</t>
  </si>
  <si>
    <t xml:space="preserve">5:20/km (2:08 per 400 m)</t>
  </si>
  <si>
    <t xml:space="preserve">60 s per 200 m</t>
  </si>
  <si>
    <t xml:space="preserve">90 s per 300 m</t>
  </si>
  <si>
    <t xml:space="preserve">6:20/km</t>
  </si>
  <si>
    <t xml:space="preserve">6:45–7:31/km</t>
  </si>
  <si>
    <t xml:space="preserve">5:40/km</t>
  </si>
  <si>
    <t xml:space="preserve">5:13/km (2:05 per 400 m)</t>
  </si>
  <si>
    <t xml:space="preserve">58 s per 200 m</t>
  </si>
  <si>
    <t xml:space="preserve">87 s per 300 m</t>
  </si>
  <si>
    <t xml:space="preserve">6:10/km</t>
  </si>
  <si>
    <t xml:space="preserve">6:36–7:21/km</t>
  </si>
  <si>
    <t xml:space="preserve">5:33/km</t>
  </si>
  <si>
    <t xml:space="preserve">5:05/km (2:02 per 400 m)</t>
  </si>
  <si>
    <t xml:space="preserve">57 s per 200 m</t>
  </si>
  <si>
    <t xml:space="preserve">85 s per 300 m</t>
  </si>
  <si>
    <t xml:space="preserve">6:01/km</t>
  </si>
  <si>
    <t xml:space="preserve">6:27–7:11/km</t>
  </si>
  <si>
    <t xml:space="preserve">5:26/km</t>
  </si>
  <si>
    <t xml:space="preserve">5:00/km (1:59 per 400 m)</t>
  </si>
  <si>
    <t xml:space="preserve">55 s per 200 m</t>
  </si>
  <si>
    <t xml:space="preserve">83 s per 300 m</t>
  </si>
  <si>
    <t xml:space="preserve">5:53/km</t>
  </si>
  <si>
    <t xml:space="preserve">6:19–7:02/km</t>
  </si>
  <si>
    <t xml:space="preserve">5:19/km</t>
  </si>
  <si>
    <t xml:space="preserve">4:54/km (1:56 per 400 m)</t>
  </si>
  <si>
    <t xml:space="preserve">54 s per 200 m</t>
  </si>
  <si>
    <t xml:space="preserve">81 s per 300 m</t>
  </si>
  <si>
    <t xml:space="preserve">5:45/km</t>
  </si>
  <si>
    <t xml:space="preserve">6:11–6:54/km</t>
  </si>
  <si>
    <t xml:space="preserve">5:12/km</t>
  </si>
  <si>
    <t xml:space="preserve">4:48/km (1:54 per 400 m)</t>
  </si>
  <si>
    <t xml:space="preserve">53 s per 200 m</t>
  </si>
  <si>
    <t xml:space="preserve">80 s per 300 m</t>
  </si>
  <si>
    <t xml:space="preserve">5:37/km</t>
  </si>
  <si>
    <t xml:space="preserve">6:03–6:46/km</t>
  </si>
  <si>
    <t xml:space="preserve">5:06/km</t>
  </si>
  <si>
    <t xml:space="preserve">4:42/km (1:52 per 400 m)</t>
  </si>
  <si>
    <t xml:space="preserve">52 s per 200 m</t>
  </si>
  <si>
    <t xml:space="preserve">78 s per 300 m</t>
  </si>
  <si>
    <t xml:space="preserve">5:29/km</t>
  </si>
  <si>
    <t xml:space="preserve">5:56–6:38/km</t>
  </si>
  <si>
    <t xml:space="preserve">Gym A: heavy (Sunday, after the recovery run, about 40 min)</t>
  </si>
  <si>
    <t xml:space="preserve">Exercise</t>
  </si>
  <si>
    <t xml:space="preserve">Sets × reps</t>
  </si>
  <si>
    <t xml:space="preserve">Squat (back or goblet) or trap-bar deadlift</t>
  </si>
  <si>
    <t xml:space="preserve">3 × 5</t>
  </si>
  <si>
    <t xml:space="preserve">Heavy: you could do only about 2 more</t>
  </si>
  <si>
    <t xml:space="preserve">Romanian deadlift</t>
  </si>
  <si>
    <t xml:space="preserve">3 × 6</t>
  </si>
  <si>
    <t xml:space="preserve">Bulgarian split squat</t>
  </si>
  <si>
    <t xml:space="preserve">3 × 6 per leg</t>
  </si>
  <si>
    <t xml:space="preserve">Standing calf raise</t>
  </si>
  <si>
    <t xml:space="preserve">3 × 8</t>
  </si>
  <si>
    <t xml:space="preserve">Heavy</t>
  </si>
  <si>
    <t xml:space="preserve">Bent-knee calf raise</t>
  </si>
  <si>
    <t xml:space="preserve">3 × 10</t>
  </si>
  <si>
    <t xml:space="preserve">Works the soleus</t>
  </si>
  <si>
    <t xml:space="preserve">Core: plank, side plank, dead bug</t>
  </si>
  <si>
    <t xml:space="preserve">2 rounds</t>
  </si>
  <si>
    <t xml:space="preserve">Gym B: power (Wednesday, after the easy run, about 25 min)</t>
  </si>
  <si>
    <t xml:space="preserve">Pogo hops</t>
  </si>
  <si>
    <t xml:space="preserve">3 × 20 contacts</t>
  </si>
  <si>
    <t xml:space="preserve">Quick, stiff ankles</t>
  </si>
  <si>
    <t xml:space="preserve">Box jumps</t>
  </si>
  <si>
    <t xml:space="preserve">Step down, don't jump down</t>
  </si>
  <si>
    <t xml:space="preserve">Bounding</t>
  </si>
  <si>
    <t xml:space="preserve">3 × 20 m</t>
  </si>
  <si>
    <t xml:space="preserve">From week 5</t>
  </si>
  <si>
    <t xml:space="preserve">Single-leg Romanian deadlift</t>
  </si>
  <si>
    <t xml:space="preserve">3 × 8 per leg</t>
  </si>
  <si>
    <t xml:space="preserve">Isometric hold (optional)</t>
  </si>
  <si>
    <t xml:space="preserve">6 × 5 s</t>
  </si>
  <si>
    <t xml:space="preserve">Push hard against a fixed bar, split-squat or calf-raise position</t>
  </si>
  <si>
    <t xml:space="preserve">How the gym work progresses</t>
  </si>
  <si>
    <t xml:space="preserve">Weeks</t>
  </si>
  <si>
    <t xml:space="preserve">What to do</t>
  </si>
  <si>
    <t xml:space="preserve">1–2</t>
  </si>
  <si>
    <t xml:space="preserve">Learn the movements</t>
  </si>
  <si>
    <t xml:space="preserve">Moderate weights, 3 × 8 in Gym A</t>
  </si>
  <si>
    <t xml:space="preserve">3–9</t>
  </si>
  <si>
    <t xml:space="preserve">Go heavy</t>
  </si>
  <si>
    <t xml:space="preserve">3 × 4–6; skip the sessions marked in test weeks 4 and 8</t>
  </si>
  <si>
    <t xml:space="preserve">10–13</t>
  </si>
  <si>
    <t xml:space="preserve">Maintain</t>
  </si>
  <si>
    <t xml:space="preserve">Same weights, 2 sets; half the jumps in Gym B</t>
  </si>
  <si>
    <t xml:space="preserve">14–15</t>
  </si>
  <si>
    <t xml:space="preserve">Taper</t>
  </si>
  <si>
    <t xml:space="preserve">Core only in week 14, nothing in race week</t>
  </si>
  <si>
    <t xml:space="preserve">Hill sprints and strides</t>
  </si>
  <si>
    <t xml:space="preserve">What</t>
  </si>
  <si>
    <t xml:space="preserve">How</t>
  </si>
  <si>
    <t xml:space="preserve">Progression</t>
  </si>
  <si>
    <t xml:space="preserve">Hill sprints (Hudson, Snow)</t>
  </si>
  <si>
    <t xml:space="preserve">6–8% hill, 8–10 s all-out, walk down, rest at least 3 min</t>
  </si>
  <si>
    <t xml:space="preserve">2, 4, 6 × 8 s (weeks 1–3); 8 × 8 s (week 5); 8 × 10 s (weeks 6–7); 6 × 10 s to Jan 20</t>
  </si>
  <si>
    <t xml:space="preserve">Strides (Daniels)</t>
  </si>
  <si>
    <t xml:space="preserve">15–20 s light and quick at about R pace; 45–60 s easy between</t>
  </si>
  <si>
    <t xml:space="preserve">Never a sprint</t>
  </si>
  <si>
    <t xml:space="preserve">Sources: Pfitzinger &amp; Douglas, Advanced Marathoning; Hudson &amp; Fitzgerald, Run Faster; Snow, Run Elite; Llanos-Lagos et al. 2024 (Sports Medicine).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</si>
</sst>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[h]:mm:ss"/>
    <numFmt numFmtId="167" formatCode="ddd\ d\ mmm"/>
    <numFmt numFmtId="168" formatCode="0.0"/>
    <numFmt numFmtId="169" formatCode="[m]:ss"/>
    <numFmt numFmtId="170" formatCode="d\ mmm"/>
    <numFmt numFmtId="171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3A"/>
      <name val="Arial"/>
      <family val="0"/>
      <charset val="1"/>
    </font>
    <font>
      <sz val="11"/>
      <color rgb="FF5B667E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color rgb="FF16213A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B667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u val="single"/>
      <sz val="11"/>
      <color rgb="FF2E6BE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4"/>
      <color rgb="FF16213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5B667E"/>
      <name val="Arial"/>
      <family val="0"/>
      <charset val="1"/>
    </font>
    <font>
      <b val="true"/>
      <sz val="13"/>
      <color rgb="FF16213A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6213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B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621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AA3B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EEEC"/>
        </patternFill>
      </fill>
    </dxf>
    <dxf>
      <font>
        <name val="Arial"/>
        <charset val="1"/>
        <family val="0"/>
        <color rgb="FF9AA3B5"/>
      </font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37A7F"/>
      <rgbColor rgb="FFD9D9D9"/>
      <rgbColor rgb="FF878787"/>
      <rgbColor rgb="FF9999FF"/>
      <rgbColor rgb="FF993366"/>
      <rgbColor rgb="FFFFF2CC"/>
      <rgbColor rgb="FFD9EEEC"/>
      <rgbColor rgb="FF660066"/>
      <rgbColor rgb="FFFF8080"/>
      <rgbColor rgb="FF0066CC"/>
      <rgbColor rgb="FFC9D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DBE6"/>
      <rgbColor rgb="FFCCFFCC"/>
      <rgbColor rgb="FFFFFF99"/>
      <rgbColor rgb="FF99CCFF"/>
      <rgbColor rgb="FFFF99CC"/>
      <rgbColor rgb="FFCC99FF"/>
      <rgbColor rgb="FFFCE4D6"/>
      <rgbColor rgb="FF2E6BE6"/>
      <rgbColor rgb="FF33CCCC"/>
      <rgbColor rgb="FF99CC00"/>
      <rgbColor rgb="FFFFCC00"/>
      <rgbColor rgb="FFFF9900"/>
      <rgbColor rgb="FFFF6600"/>
      <rgbColor rgb="FF5B667E"/>
      <rgbColor rgb="FF9AA3B5"/>
      <rgbColor rgb="FF003366"/>
      <rgbColor rgb="FF339966"/>
      <rgbColor rgb="FF003300"/>
      <rgbColor rgb="FF333300"/>
      <rgbColor rgb="FF993300"/>
      <rgbColor rgb="FF993366"/>
      <rgbColor rgb="FF333399"/>
      <rgbColor rgb="FF1621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Planned vs logged km per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Weekly!E4</c:f>
              <c:strCache>
                <c:ptCount val="1"/>
                <c:pt idx="0">
                  <c:v>Planned km</c:v>
                </c:pt>
              </c:strCache>
            </c:strRef>
          </c:tx>
          <c:spPr>
            <a:solidFill>
              <a:srgbClr val="c9d0d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Weekly!$A$5:$A$19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Weekly!$E$5:$E$19</c:f>
              <c:numCache>
                <c:formatCode>0.0</c:formatCode>
                <c:ptCount val="15"/>
                <c:pt idx="0">
                  <c:v>31.2</c:v>
                </c:pt>
                <c:pt idx="1">
                  <c:v>32.2</c:v>
                </c:pt>
                <c:pt idx="2">
                  <c:v>34</c:v>
                </c:pt>
                <c:pt idx="3">
                  <c:v>27.6</c:v>
                </c:pt>
                <c:pt idx="4">
                  <c:v>36.5</c:v>
                </c:pt>
                <c:pt idx="5">
                  <c:v>37.2</c:v>
                </c:pt>
                <c:pt idx="6">
                  <c:v>38.5</c:v>
                </c:pt>
                <c:pt idx="7">
                  <c:v>33.1</c:v>
                </c:pt>
                <c:pt idx="8">
                  <c:v>35.8</c:v>
                </c:pt>
                <c:pt idx="9">
                  <c:v>40.1</c:v>
                </c:pt>
                <c:pt idx="10">
                  <c:v>39.8</c:v>
                </c:pt>
                <c:pt idx="11">
                  <c:v>41.1</c:v>
                </c:pt>
                <c:pt idx="12">
                  <c:v>33.8</c:v>
                </c:pt>
                <c:pt idx="13">
                  <c:v>33</c:v>
                </c:pt>
                <c:pt idx="14">
                  <c:v>37.5</c:v>
                </c:pt>
              </c:numCache>
            </c:numRef>
          </c:val>
        </c:ser>
        <c:ser>
          <c:idx val="1"/>
          <c:order val="1"/>
          <c:tx>
            <c:strRef>
              <c:f>Weekly!H4</c:f>
              <c:strCache>
                <c:ptCount val="1"/>
                <c:pt idx="0">
                  <c:v>Logged km</c:v>
                </c:pt>
              </c:strCache>
            </c:strRef>
          </c:tx>
          <c:spPr>
            <a:solidFill>
              <a:srgbClr val="237a7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Weekly!$A$5:$A$19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Weekly!$H$5:$H$19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54497441"/>
        <c:axId val="14806044"/>
      </c:barChart>
      <c:catAx>
        <c:axId val="544974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06044"/>
        <c:crosses val="autoZero"/>
        <c:auto val="1"/>
        <c:lblAlgn val="ctr"/>
        <c:lblOffset val="100"/>
        <c:noMultiLvlLbl val="0"/>
      </c:catAx>
      <c:valAx>
        <c:axId val="14806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974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160920</xdr:rowOff>
    </xdr:from>
    <xdr:to>
      <xdr:col>20</xdr:col>
      <xdr:colOff>364680</xdr:colOff>
      <xdr:row>17</xdr:row>
      <xdr:rowOff>32400</xdr:rowOff>
    </xdr:to>
    <xdr:graphicFrame>
      <xdr:nvGraphicFramePr>
        <xdr:cNvPr id="0" name="Chart 1"/>
        <xdr:cNvGraphicFramePr/>
      </xdr:nvGraphicFramePr>
      <xdr:xfrm>
        <a:off x="723708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engkistan.github.io/marathonplan/" TargetMode="External"/><Relationship Id="rId2" Type="http://schemas.openxmlformats.org/officeDocument/2006/relationships/hyperlink" Target="https://claude.ai/artifact/BErnvi4zztgJg9Htm676nq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7.35" hidden="false" customHeight="false" outlineLevel="0" collapsed="false">
      <c r="A3" s="3" t="s">
        <v>2</v>
      </c>
      <c r="B3" s="4" t="n">
        <f aca="true">MAX(0,DATE(2027,2,6)-TODAY())</f>
        <v>104</v>
      </c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6" t="s">
        <v>4</v>
      </c>
      <c r="B6" s="7" t="n">
        <v>194</v>
      </c>
      <c r="E6" s="8" t="s">
        <v>5</v>
      </c>
    </row>
    <row r="7" customFormat="false" ht="15" hidden="false" customHeight="false" outlineLevel="0" collapsed="false">
      <c r="A7" s="6" t="s">
        <v>6</v>
      </c>
      <c r="B7" s="7" t="n">
        <v>32</v>
      </c>
      <c r="E7" s="8" t="s">
        <v>7</v>
      </c>
    </row>
    <row r="8" customFormat="false" ht="15" hidden="false" customHeight="false" outlineLevel="0" collapsed="false">
      <c r="A8" s="6" t="s">
        <v>8</v>
      </c>
      <c r="B8" s="7"/>
      <c r="C8" s="7"/>
      <c r="E8" s="8" t="s">
        <v>9</v>
      </c>
    </row>
    <row r="9" customFormat="false" ht="15" hidden="false" customHeight="false" outlineLevel="0" collapsed="false">
      <c r="A9" s="6" t="s">
        <v>10</v>
      </c>
      <c r="B9" s="7"/>
      <c r="C9" s="7"/>
      <c r="E9" s="8" t="s">
        <v>11</v>
      </c>
    </row>
    <row r="11" customFormat="false" ht="15" hidden="false" customHeight="false" outlineLevel="0" collapsed="false">
      <c r="A11" s="5" t="s">
        <v>12</v>
      </c>
    </row>
    <row r="12" customFormat="false" ht="15" hidden="false" customHeight="false" outlineLevel="0" collapsed="false">
      <c r="A12" s="6" t="s">
        <v>13</v>
      </c>
      <c r="B12" s="9" t="str">
        <f aca="false">IF(N(B8)=0,"",MAX(30,29+SUMPRODUCT(--(Paces!$B$5:$B$15&gt;=TIME(0,B8,N(C8))))))</f>
        <v/>
      </c>
      <c r="E12" s="8" t="s">
        <v>14</v>
      </c>
    </row>
    <row r="13" customFormat="false" ht="15" hidden="false" customHeight="false" outlineLevel="0" collapsed="false">
      <c r="A13" s="6" t="s">
        <v>15</v>
      </c>
      <c r="B13" s="9" t="str">
        <f aca="false">IF(N(B9)=0,"",MAX(30,29+SUMPRODUCT(--(Paces!$C$5:$C$15&gt;=TIME(0,B9,N(C9))))))</f>
        <v/>
      </c>
    </row>
    <row r="14" customFormat="false" ht="15" hidden="false" customHeight="false" outlineLevel="0" collapsed="false">
      <c r="A14" s="6" t="s">
        <v>16</v>
      </c>
      <c r="B14" s="9" t="n">
        <f aca="false">IF(B12="",B7,B12)</f>
        <v>32</v>
      </c>
    </row>
    <row r="15" customFormat="false" ht="15" hidden="false" customHeight="false" outlineLevel="0" collapsed="false">
      <c r="A15" s="6" t="s">
        <v>17</v>
      </c>
      <c r="B15" s="9" t="n">
        <f aca="false">IF(B13="",B14,B13)</f>
        <v>32</v>
      </c>
    </row>
    <row r="16" customFormat="false" ht="15" hidden="false" customHeight="false" outlineLevel="0" collapsed="false">
      <c r="A16" s="6" t="s">
        <v>18</v>
      </c>
      <c r="B16" s="10" t="n">
        <f aca="false">INDEX(Paces!$D$5:$D$15,MATCH(B15,Paces!$A$5:$A$15,0))</f>
        <v>0.0929282407407407</v>
      </c>
      <c r="E16" s="8" t="s">
        <v>19</v>
      </c>
    </row>
    <row r="17" customFormat="false" ht="15" hidden="false" customHeight="false" outlineLevel="0" collapsed="false">
      <c r="A17" s="6" t="s">
        <v>20</v>
      </c>
      <c r="B17" s="9" t="str">
        <f aca="false">INDEX(Paces!$E$5:$E$15,MATCH(B15,Paces!$A$5:$A$15,0))</f>
        <v>6:21/km</v>
      </c>
    </row>
    <row r="19" customFormat="false" ht="15" hidden="false" customHeight="false" outlineLevel="0" collapsed="false">
      <c r="A19" s="5" t="s">
        <v>21</v>
      </c>
    </row>
    <row r="20" customFormat="false" ht="15" hidden="false" customHeight="false" outlineLevel="0" collapsed="false">
      <c r="A20" s="6" t="s">
        <v>22</v>
      </c>
    </row>
    <row r="21" customFormat="false" ht="15" hidden="false" customHeight="false" outlineLevel="0" collapsed="false">
      <c r="A21" s="6" t="s">
        <v>23</v>
      </c>
    </row>
    <row r="22" customFormat="false" ht="15" hidden="false" customHeight="false" outlineLevel="0" collapsed="false">
      <c r="A22" s="6" t="s">
        <v>24</v>
      </c>
    </row>
    <row r="23" customFormat="false" ht="15" hidden="false" customHeight="false" outlineLevel="0" collapsed="false">
      <c r="A23" s="6" t="s">
        <v>25</v>
      </c>
    </row>
    <row r="24" customFormat="false" ht="15" hidden="false" customHeight="false" outlineLevel="0" collapsed="false">
      <c r="A24" s="6" t="s">
        <v>26</v>
      </c>
    </row>
    <row r="26" customFormat="false" ht="15" hidden="false" customHeight="false" outlineLevel="0" collapsed="false">
      <c r="A26" s="5" t="s">
        <v>27</v>
      </c>
    </row>
    <row r="27" customFormat="false" ht="15" hidden="false" customHeight="false" outlineLevel="0" collapsed="false">
      <c r="A27" s="11" t="s">
        <v>28</v>
      </c>
      <c r="B27" s="11" t="s">
        <v>29</v>
      </c>
      <c r="C27" s="11" t="s">
        <v>30</v>
      </c>
      <c r="D27" s="11" t="s">
        <v>31</v>
      </c>
      <c r="E27" s="11" t="s">
        <v>32</v>
      </c>
      <c r="F27" s="11" t="s">
        <v>33</v>
      </c>
    </row>
    <row r="28" customFormat="false" ht="15" hidden="false" customHeight="false" outlineLevel="0" collapsed="false">
      <c r="A28" s="12" t="s">
        <v>34</v>
      </c>
      <c r="B28" s="12" t="n">
        <v>6.7</v>
      </c>
      <c r="C28" s="13" t="n">
        <v>0.0287037037037037</v>
      </c>
      <c r="D28" s="12" t="n">
        <v>158</v>
      </c>
      <c r="E28" s="12" t="n">
        <v>3</v>
      </c>
      <c r="F28" s="12" t="s">
        <v>35</v>
      </c>
    </row>
    <row r="30" customFormat="false" ht="15" hidden="false" customHeight="false" outlineLevel="0" collapsed="false">
      <c r="A30" s="5" t="s">
        <v>36</v>
      </c>
    </row>
    <row r="31" customFormat="false" ht="15" hidden="false" customHeight="false" outlineLevel="0" collapsed="false">
      <c r="A31" s="6" t="s">
        <v>37</v>
      </c>
      <c r="B31" s="14" t="s">
        <v>38</v>
      </c>
    </row>
    <row r="32" customFormat="false" ht="15" hidden="false" customHeight="false" outlineLevel="0" collapsed="false">
      <c r="A32" s="6" t="s">
        <v>39</v>
      </c>
      <c r="B32" s="14" t="s">
        <v>40</v>
      </c>
    </row>
  </sheetData>
  <hyperlinks>
    <hyperlink ref="B31" r:id="rId1" display="https://pengkistan.github.io/marathonplan/"/>
    <hyperlink ref="B32" r:id="rId2" display="https://claude.ai/artifact/BErnvi4zztgJg9Htm676nq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6"/>
    <col collapsed="false" customWidth="true" hidden="false" outlineLevel="0" max="5" min="5" style="0" width="22"/>
    <col collapsed="false" customWidth="true" hidden="false" outlineLevel="0" max="6" min="6" style="0" width="62"/>
    <col collapsed="false" customWidth="true" hidden="false" outlineLevel="0" max="7" min="7" style="0" width="10"/>
    <col collapsed="false" customWidth="true" hidden="false" outlineLevel="0" max="8" min="8" style="0" width="7"/>
    <col collapsed="false" customWidth="true" hidden="false" outlineLevel="0" max="9" min="9" style="0" width="26"/>
    <col collapsed="false" customWidth="true" hidden="false" outlineLevel="0" max="10" min="10" style="0" width="7"/>
    <col collapsed="false" customWidth="true" hidden="false" outlineLevel="0" max="12" min="11" style="0" width="10"/>
    <col collapsed="false" customWidth="true" hidden="false" outlineLevel="0" max="13" min="13" style="0" width="8"/>
    <col collapsed="false" customWidth="true" hidden="false" outlineLevel="0" max="15" min="14" style="0" width="9"/>
    <col collapsed="false" customWidth="true" hidden="false" outlineLevel="0" max="16" min="16" style="0" width="34"/>
    <col collapsed="false" customWidth="true" hidden="true" outlineLevel="0" max="17" min="17" style="0" width="9"/>
  </cols>
  <sheetData>
    <row r="1" customFormat="false" ht="26.85" hidden="false" customHeight="false" outlineLevel="0" collapsed="false">
      <c r="A1" s="15" t="s">
        <v>41</v>
      </c>
      <c r="B1" s="15" t="s">
        <v>42</v>
      </c>
      <c r="C1" s="15" t="s">
        <v>43</v>
      </c>
      <c r="D1" s="15" t="s">
        <v>44</v>
      </c>
      <c r="E1" s="15" t="s">
        <v>45</v>
      </c>
      <c r="F1" s="15" t="s">
        <v>46</v>
      </c>
      <c r="G1" s="15" t="s">
        <v>47</v>
      </c>
      <c r="H1" s="15" t="s">
        <v>48</v>
      </c>
      <c r="I1" s="15" t="s">
        <v>49</v>
      </c>
      <c r="J1" s="15" t="s">
        <v>28</v>
      </c>
      <c r="K1" s="15" t="s">
        <v>29</v>
      </c>
      <c r="L1" s="15" t="s">
        <v>30</v>
      </c>
      <c r="M1" s="15" t="s">
        <v>31</v>
      </c>
      <c r="N1" s="15" t="s">
        <v>32</v>
      </c>
      <c r="O1" s="15" t="s">
        <v>50</v>
      </c>
      <c r="P1" s="15" t="s">
        <v>33</v>
      </c>
      <c r="Q1" s="15" t="s">
        <v>51</v>
      </c>
    </row>
    <row r="2" customFormat="false" ht="15" hidden="false" customHeight="false" outlineLevel="0" collapsed="false">
      <c r="A2" s="16" t="n">
        <v>46321</v>
      </c>
      <c r="B2" s="17" t="n">
        <v>1</v>
      </c>
      <c r="C2" s="17" t="s">
        <v>52</v>
      </c>
      <c r="D2" s="17" t="s">
        <v>53</v>
      </c>
      <c r="E2" s="17" t="s">
        <v>54</v>
      </c>
      <c r="F2" s="18" t="s">
        <v>55</v>
      </c>
      <c r="G2" s="19"/>
      <c r="H2" s="17" t="n">
        <f aca="false">IF(C2="Base",'Start here'!$B$7,IF(C2="Build",'Start here'!$B$14,'Start here'!$B$15))</f>
        <v>32</v>
      </c>
      <c r="I2" s="17" t="str">
        <f aca="false">IF(Q2="","",IF(Q2="E","HR under "&amp;ROUND('Start here'!$B$6*0.79,0),IF(Q2="REC","HR under "&amp;ROUND('Start here'!$B$6*0.76,0),IF(Q2="L","HR "&amp;ROUND('Start here'!$B$6*0.73,0)&amp;" to "&amp;ROUND('Start here'!$B$6*0.84,0),INDEX(Paces!$B$5:$K$15,MATCH(H2,Paces!$A$5:$A$15,0),MATCH(Q2,Paces!$B$4:$K$4,0))))))</f>
        <v/>
      </c>
      <c r="J2" s="20"/>
      <c r="K2" s="21"/>
      <c r="L2" s="22"/>
      <c r="M2" s="20"/>
      <c r="N2" s="20"/>
      <c r="O2" s="23" t="str">
        <f aca="false">IF(AND(N(K2)&gt;0,N(L2)&gt;0),L2/K2,"")</f>
        <v/>
      </c>
      <c r="P2" s="24"/>
      <c r="Q2" s="17"/>
    </row>
    <row r="3" customFormat="false" ht="15" hidden="false" customHeight="false" outlineLevel="0" collapsed="false">
      <c r="A3" s="16" t="n">
        <v>46322</v>
      </c>
      <c r="B3" s="17" t="n">
        <v>1</v>
      </c>
      <c r="C3" s="17" t="s">
        <v>52</v>
      </c>
      <c r="D3" s="17" t="s">
        <v>56</v>
      </c>
      <c r="E3" s="17" t="s">
        <v>57</v>
      </c>
      <c r="F3" s="18" t="s">
        <v>58</v>
      </c>
      <c r="G3" s="19" t="n">
        <v>6.7</v>
      </c>
      <c r="H3" s="17" t="n">
        <f aca="false">IF(C3="Base",'Start here'!$B$7,IF(C3="Build",'Start here'!$B$14,'Start here'!$B$15))</f>
        <v>32</v>
      </c>
      <c r="I3" s="17" t="str">
        <f aca="false">IF(Q3="","",IF(Q3="E","HR under "&amp;ROUND('Start here'!$B$6*0.79,0),IF(Q3="REC","HR under "&amp;ROUND('Start here'!$B$6*0.76,0),IF(Q3="L","HR "&amp;ROUND('Start here'!$B$6*0.73,0)&amp;" to "&amp;ROUND('Start here'!$B$6*0.84,0),INDEX(Paces!$B$5:$K$15,MATCH(H3,Paces!$A$5:$A$15,0),MATCH(Q3,Paces!$B$4:$K$4,0))))))</f>
        <v>6:05/km</v>
      </c>
      <c r="J3" s="20"/>
      <c r="K3" s="21"/>
      <c r="L3" s="22"/>
      <c r="M3" s="20"/>
      <c r="N3" s="20"/>
      <c r="O3" s="23" t="str">
        <f aca="false">IF(AND(N(K3)&gt;0,N(L3)&gt;0),L3/K3,"")</f>
        <v/>
      </c>
      <c r="P3" s="24"/>
      <c r="Q3" s="17" t="s">
        <v>59</v>
      </c>
    </row>
    <row r="4" customFormat="false" ht="15" hidden="false" customHeight="false" outlineLevel="0" collapsed="false">
      <c r="A4" s="16" t="n">
        <v>46323</v>
      </c>
      <c r="B4" s="17" t="n">
        <v>1</v>
      </c>
      <c r="C4" s="17" t="s">
        <v>52</v>
      </c>
      <c r="D4" s="17" t="s">
        <v>60</v>
      </c>
      <c r="E4" s="17" t="s">
        <v>61</v>
      </c>
      <c r="F4" s="18" t="s">
        <v>62</v>
      </c>
      <c r="G4" s="19" t="n">
        <v>4.6</v>
      </c>
      <c r="H4" s="17" t="n">
        <f aca="false">IF(C4="Base",'Start here'!$B$7,IF(C4="Build",'Start here'!$B$14,'Start here'!$B$15))</f>
        <v>32</v>
      </c>
      <c r="I4" s="17" t="str">
        <f aca="false">IF(Q4="","",IF(Q4="E","HR under "&amp;ROUND('Start here'!$B$6*0.79,0),IF(Q4="REC","HR under "&amp;ROUND('Start here'!$B$6*0.76,0),IF(Q4="L","HR "&amp;ROUND('Start here'!$B$6*0.73,0)&amp;" to "&amp;ROUND('Start here'!$B$6*0.84,0),INDEX(Paces!$B$5:$K$15,MATCH(H4,Paces!$A$5:$A$15,0),MATCH(Q4,Paces!$B$4:$K$4,0))))))</f>
        <v>HR under 153</v>
      </c>
      <c r="J4" s="20"/>
      <c r="K4" s="21"/>
      <c r="L4" s="22"/>
      <c r="M4" s="20"/>
      <c r="N4" s="20"/>
      <c r="O4" s="23" t="str">
        <f aca="false">IF(AND(N(K4)&gt;0,N(L4)&gt;0),L4/K4,"")</f>
        <v/>
      </c>
      <c r="P4" s="24"/>
      <c r="Q4" s="17" t="s">
        <v>63</v>
      </c>
    </row>
    <row r="5" customFormat="false" ht="15" hidden="false" customHeight="false" outlineLevel="0" collapsed="false">
      <c r="A5" s="16" t="n">
        <v>46324</v>
      </c>
      <c r="B5" s="17" t="n">
        <v>1</v>
      </c>
      <c r="C5" s="17" t="s">
        <v>52</v>
      </c>
      <c r="D5" s="17" t="s">
        <v>64</v>
      </c>
      <c r="E5" s="17" t="s">
        <v>65</v>
      </c>
      <c r="F5" s="18" t="s">
        <v>66</v>
      </c>
      <c r="G5" s="19" t="n">
        <v>4.3</v>
      </c>
      <c r="H5" s="17" t="n">
        <f aca="false">IF(C5="Base",'Start here'!$B$7,IF(C5="Build",'Start here'!$B$14,'Start here'!$B$15))</f>
        <v>32</v>
      </c>
      <c r="I5" s="17" t="str">
        <f aca="false">IF(Q5="","",IF(Q5="E","HR under "&amp;ROUND('Start here'!$B$6*0.79,0),IF(Q5="REC","HR under "&amp;ROUND('Start here'!$B$6*0.76,0),IF(Q5="L","HR "&amp;ROUND('Start here'!$B$6*0.73,0)&amp;" to "&amp;ROUND('Start here'!$B$6*0.84,0),INDEX(Paces!$B$5:$K$15,MATCH(H5,Paces!$A$5:$A$15,0),MATCH(Q5,Paces!$B$4:$K$4,0))))))</f>
        <v>HR under 153</v>
      </c>
      <c r="J5" s="20"/>
      <c r="K5" s="21"/>
      <c r="L5" s="22"/>
      <c r="M5" s="20"/>
      <c r="N5" s="20"/>
      <c r="O5" s="23" t="str">
        <f aca="false">IF(AND(N(K5)&gt;0,N(L5)&gt;0),L5/K5,"")</f>
        <v/>
      </c>
      <c r="P5" s="24"/>
      <c r="Q5" s="17" t="s">
        <v>63</v>
      </c>
    </row>
    <row r="6" customFormat="false" ht="15" hidden="false" customHeight="false" outlineLevel="0" collapsed="false">
      <c r="A6" s="16" t="n">
        <v>46325</v>
      </c>
      <c r="B6" s="17" t="n">
        <v>1</v>
      </c>
      <c r="C6" s="17" t="s">
        <v>52</v>
      </c>
      <c r="D6" s="17" t="s">
        <v>67</v>
      </c>
      <c r="E6" s="17" t="s">
        <v>54</v>
      </c>
      <c r="F6" s="18" t="s">
        <v>55</v>
      </c>
      <c r="G6" s="19"/>
      <c r="H6" s="17" t="n">
        <f aca="false">IF(C6="Base",'Start here'!$B$7,IF(C6="Build",'Start here'!$B$14,'Start here'!$B$15))</f>
        <v>32</v>
      </c>
      <c r="I6" s="17" t="str">
        <f aca="false">IF(Q6="","",IF(Q6="E","HR under "&amp;ROUND('Start here'!$B$6*0.79,0),IF(Q6="REC","HR under "&amp;ROUND('Start here'!$B$6*0.76,0),IF(Q6="L","HR "&amp;ROUND('Start here'!$B$6*0.73,0)&amp;" to "&amp;ROUND('Start here'!$B$6*0.84,0),INDEX(Paces!$B$5:$K$15,MATCH(H6,Paces!$A$5:$A$15,0),MATCH(Q6,Paces!$B$4:$K$4,0))))))</f>
        <v/>
      </c>
      <c r="J6" s="20"/>
      <c r="K6" s="21"/>
      <c r="L6" s="22"/>
      <c r="M6" s="20"/>
      <c r="N6" s="20"/>
      <c r="O6" s="23" t="str">
        <f aca="false">IF(AND(N(K6)&gt;0,N(L6)&gt;0),L6/K6,"")</f>
        <v/>
      </c>
      <c r="P6" s="24"/>
      <c r="Q6" s="17"/>
    </row>
    <row r="7" customFormat="false" ht="15" hidden="false" customHeight="false" outlineLevel="0" collapsed="false">
      <c r="A7" s="16" t="n">
        <v>46326</v>
      </c>
      <c r="B7" s="17" t="n">
        <v>1</v>
      </c>
      <c r="C7" s="17" t="s">
        <v>52</v>
      </c>
      <c r="D7" s="17" t="s">
        <v>68</v>
      </c>
      <c r="E7" s="17" t="s">
        <v>69</v>
      </c>
      <c r="F7" s="18" t="s">
        <v>70</v>
      </c>
      <c r="G7" s="19" t="n">
        <v>12</v>
      </c>
      <c r="H7" s="17" t="n">
        <f aca="false">IF(C7="Base",'Start here'!$B$7,IF(C7="Build",'Start here'!$B$14,'Start here'!$B$15))</f>
        <v>32</v>
      </c>
      <c r="I7" s="17" t="str">
        <f aca="false">IF(Q7="","",IF(Q7="E","HR under "&amp;ROUND('Start here'!$B$6*0.79,0),IF(Q7="REC","HR under "&amp;ROUND('Start here'!$B$6*0.76,0),IF(Q7="L","HR "&amp;ROUND('Start here'!$B$6*0.73,0)&amp;" to "&amp;ROUND('Start here'!$B$6*0.84,0),INDEX(Paces!$B$5:$K$15,MATCH(H7,Paces!$A$5:$A$15,0),MATCH(Q7,Paces!$B$4:$K$4,0))))))</f>
        <v>HR 142 to 163</v>
      </c>
      <c r="J7" s="20"/>
      <c r="K7" s="21"/>
      <c r="L7" s="22"/>
      <c r="M7" s="20"/>
      <c r="N7" s="20"/>
      <c r="O7" s="23" t="str">
        <f aca="false">IF(AND(N(K7)&gt;0,N(L7)&gt;0),L7/K7,"")</f>
        <v/>
      </c>
      <c r="P7" s="24"/>
      <c r="Q7" s="17" t="s">
        <v>71</v>
      </c>
    </row>
    <row r="8" customFormat="false" ht="15" hidden="false" customHeight="false" outlineLevel="0" collapsed="false">
      <c r="A8" s="16" t="n">
        <v>46327</v>
      </c>
      <c r="B8" s="17" t="n">
        <v>1</v>
      </c>
      <c r="C8" s="17" t="s">
        <v>52</v>
      </c>
      <c r="D8" s="17" t="s">
        <v>72</v>
      </c>
      <c r="E8" s="17" t="s">
        <v>73</v>
      </c>
      <c r="F8" s="18" t="s">
        <v>74</v>
      </c>
      <c r="G8" s="19" t="n">
        <v>3.6</v>
      </c>
      <c r="H8" s="17" t="n">
        <f aca="false">IF(C8="Base",'Start here'!$B$7,IF(C8="Build",'Start here'!$B$14,'Start here'!$B$15))</f>
        <v>32</v>
      </c>
      <c r="I8" s="17" t="str">
        <f aca="false">IF(Q8="","",IF(Q8="E","HR under "&amp;ROUND('Start here'!$B$6*0.79,0),IF(Q8="REC","HR under "&amp;ROUND('Start here'!$B$6*0.76,0),IF(Q8="L","HR "&amp;ROUND('Start here'!$B$6*0.73,0)&amp;" to "&amp;ROUND('Start here'!$B$6*0.84,0),INDEX(Paces!$B$5:$K$15,MATCH(H8,Paces!$A$5:$A$15,0),MATCH(Q8,Paces!$B$4:$K$4,0))))))</f>
        <v>HR under 147</v>
      </c>
      <c r="J8" s="20"/>
      <c r="K8" s="21"/>
      <c r="L8" s="22"/>
      <c r="M8" s="20"/>
      <c r="N8" s="20"/>
      <c r="O8" s="23" t="str">
        <f aca="false">IF(AND(N(K8)&gt;0,N(L8)&gt;0),L8/K8,"")</f>
        <v/>
      </c>
      <c r="P8" s="24"/>
      <c r="Q8" s="17" t="s">
        <v>75</v>
      </c>
    </row>
    <row r="9" customFormat="false" ht="15" hidden="false" customHeight="false" outlineLevel="0" collapsed="false">
      <c r="A9" s="16" t="n">
        <v>46328</v>
      </c>
      <c r="B9" s="17" t="n">
        <v>2</v>
      </c>
      <c r="C9" s="17" t="s">
        <v>52</v>
      </c>
      <c r="D9" s="17" t="s">
        <v>53</v>
      </c>
      <c r="E9" s="17" t="s">
        <v>54</v>
      </c>
      <c r="F9" s="18" t="s">
        <v>55</v>
      </c>
      <c r="G9" s="19"/>
      <c r="H9" s="17" t="n">
        <f aca="false">IF(C9="Base",'Start here'!$B$7,IF(C9="Build",'Start here'!$B$14,'Start here'!$B$15))</f>
        <v>32</v>
      </c>
      <c r="I9" s="17" t="str">
        <f aca="false">IF(Q9="","",IF(Q9="E","HR under "&amp;ROUND('Start here'!$B$6*0.79,0),IF(Q9="REC","HR under "&amp;ROUND('Start here'!$B$6*0.76,0),IF(Q9="L","HR "&amp;ROUND('Start here'!$B$6*0.73,0)&amp;" to "&amp;ROUND('Start here'!$B$6*0.84,0),INDEX(Paces!$B$5:$K$15,MATCH(H9,Paces!$A$5:$A$15,0),MATCH(Q9,Paces!$B$4:$K$4,0))))))</f>
        <v/>
      </c>
      <c r="J9" s="20"/>
      <c r="K9" s="21"/>
      <c r="L9" s="22"/>
      <c r="M9" s="20"/>
      <c r="N9" s="20"/>
      <c r="O9" s="23" t="str">
        <f aca="false">IF(AND(N(K9)&gt;0,N(L9)&gt;0),L9/K9,"")</f>
        <v/>
      </c>
      <c r="P9" s="24"/>
      <c r="Q9" s="17"/>
    </row>
    <row r="10" customFormat="false" ht="15" hidden="false" customHeight="false" outlineLevel="0" collapsed="false">
      <c r="A10" s="16" t="n">
        <v>46329</v>
      </c>
      <c r="B10" s="17" t="n">
        <v>2</v>
      </c>
      <c r="C10" s="17" t="s">
        <v>52</v>
      </c>
      <c r="D10" s="17" t="s">
        <v>56</v>
      </c>
      <c r="E10" s="17" t="s">
        <v>57</v>
      </c>
      <c r="F10" s="18" t="s">
        <v>76</v>
      </c>
      <c r="G10" s="19" t="n">
        <v>7</v>
      </c>
      <c r="H10" s="17" t="n">
        <f aca="false">IF(C10="Base",'Start here'!$B$7,IF(C10="Build",'Start here'!$B$14,'Start here'!$B$15))</f>
        <v>32</v>
      </c>
      <c r="I10" s="17" t="str">
        <f aca="false">IF(Q10="","",IF(Q10="E","HR under "&amp;ROUND('Start here'!$B$6*0.79,0),IF(Q10="REC","HR under "&amp;ROUND('Start here'!$B$6*0.76,0),IF(Q10="L","HR "&amp;ROUND('Start here'!$B$6*0.73,0)&amp;" to "&amp;ROUND('Start here'!$B$6*0.84,0),INDEX(Paces!$B$5:$K$15,MATCH(H10,Paces!$A$5:$A$15,0),MATCH(Q10,Paces!$B$4:$K$4,0))))))</f>
        <v>6:05/km</v>
      </c>
      <c r="J10" s="20"/>
      <c r="K10" s="21"/>
      <c r="L10" s="22"/>
      <c r="M10" s="20"/>
      <c r="N10" s="20"/>
      <c r="O10" s="23" t="str">
        <f aca="false">IF(AND(N(K10)&gt;0,N(L10)&gt;0),L10/K10,"")</f>
        <v/>
      </c>
      <c r="P10" s="24"/>
      <c r="Q10" s="17" t="s">
        <v>59</v>
      </c>
    </row>
    <row r="11" customFormat="false" ht="15" hidden="false" customHeight="false" outlineLevel="0" collapsed="false">
      <c r="A11" s="16" t="n">
        <v>46330</v>
      </c>
      <c r="B11" s="17" t="n">
        <v>2</v>
      </c>
      <c r="C11" s="17" t="s">
        <v>52</v>
      </c>
      <c r="D11" s="17" t="s">
        <v>60</v>
      </c>
      <c r="E11" s="17" t="s">
        <v>61</v>
      </c>
      <c r="F11" s="18" t="s">
        <v>77</v>
      </c>
      <c r="G11" s="19" t="n">
        <v>5.2</v>
      </c>
      <c r="H11" s="17" t="n">
        <f aca="false">IF(C11="Base",'Start here'!$B$7,IF(C11="Build",'Start here'!$B$14,'Start here'!$B$15))</f>
        <v>32</v>
      </c>
      <c r="I11" s="17" t="str">
        <f aca="false">IF(Q11="","",IF(Q11="E","HR under "&amp;ROUND('Start here'!$B$6*0.79,0),IF(Q11="REC","HR under "&amp;ROUND('Start here'!$B$6*0.76,0),IF(Q11="L","HR "&amp;ROUND('Start here'!$B$6*0.73,0)&amp;" to "&amp;ROUND('Start here'!$B$6*0.84,0),INDEX(Paces!$B$5:$K$15,MATCH(H11,Paces!$A$5:$A$15,0),MATCH(Q11,Paces!$B$4:$K$4,0))))))</f>
        <v>HR under 153</v>
      </c>
      <c r="J11" s="20"/>
      <c r="K11" s="21"/>
      <c r="L11" s="22"/>
      <c r="M11" s="20"/>
      <c r="N11" s="20"/>
      <c r="O11" s="23" t="str">
        <f aca="false">IF(AND(N(K11)&gt;0,N(L11)&gt;0),L11/K11,"")</f>
        <v/>
      </c>
      <c r="P11" s="24"/>
      <c r="Q11" s="17" t="s">
        <v>63</v>
      </c>
    </row>
    <row r="12" customFormat="false" ht="15" hidden="false" customHeight="false" outlineLevel="0" collapsed="false">
      <c r="A12" s="16" t="n">
        <v>46331</v>
      </c>
      <c r="B12" s="17" t="n">
        <v>2</v>
      </c>
      <c r="C12" s="17" t="s">
        <v>52</v>
      </c>
      <c r="D12" s="17" t="s">
        <v>64</v>
      </c>
      <c r="E12" s="17" t="s">
        <v>65</v>
      </c>
      <c r="F12" s="18" t="s">
        <v>78</v>
      </c>
      <c r="G12" s="19" t="n">
        <v>4.4</v>
      </c>
      <c r="H12" s="17" t="n">
        <f aca="false">IF(C12="Base",'Start here'!$B$7,IF(C12="Build",'Start here'!$B$14,'Start here'!$B$15))</f>
        <v>32</v>
      </c>
      <c r="I12" s="17" t="str">
        <f aca="false">IF(Q12="","",IF(Q12="E","HR under "&amp;ROUND('Start here'!$B$6*0.79,0),IF(Q12="REC","HR under "&amp;ROUND('Start here'!$B$6*0.76,0),IF(Q12="L","HR "&amp;ROUND('Start here'!$B$6*0.73,0)&amp;" to "&amp;ROUND('Start here'!$B$6*0.84,0),INDEX(Paces!$B$5:$K$15,MATCH(H12,Paces!$A$5:$A$15,0),MATCH(Q12,Paces!$B$4:$K$4,0))))))</f>
        <v>HR under 153</v>
      </c>
      <c r="J12" s="20"/>
      <c r="K12" s="21"/>
      <c r="L12" s="22"/>
      <c r="M12" s="20"/>
      <c r="N12" s="20"/>
      <c r="O12" s="23" t="str">
        <f aca="false">IF(AND(N(K12)&gt;0,N(L12)&gt;0),L12/K12,"")</f>
        <v/>
      </c>
      <c r="P12" s="24"/>
      <c r="Q12" s="17" t="s">
        <v>63</v>
      </c>
    </row>
    <row r="13" customFormat="false" ht="15" hidden="false" customHeight="false" outlineLevel="0" collapsed="false">
      <c r="A13" s="16" t="n">
        <v>46332</v>
      </c>
      <c r="B13" s="17" t="n">
        <v>2</v>
      </c>
      <c r="C13" s="17" t="s">
        <v>52</v>
      </c>
      <c r="D13" s="17" t="s">
        <v>67</v>
      </c>
      <c r="E13" s="17" t="s">
        <v>54</v>
      </c>
      <c r="F13" s="18" t="s">
        <v>55</v>
      </c>
      <c r="G13" s="19"/>
      <c r="H13" s="17" t="n">
        <f aca="false">IF(C13="Base",'Start here'!$B$7,IF(C13="Build",'Start here'!$B$14,'Start here'!$B$15))</f>
        <v>32</v>
      </c>
      <c r="I13" s="17" t="str">
        <f aca="false">IF(Q13="","",IF(Q13="E","HR under "&amp;ROUND('Start here'!$B$6*0.79,0),IF(Q13="REC","HR under "&amp;ROUND('Start here'!$B$6*0.76,0),IF(Q13="L","HR "&amp;ROUND('Start here'!$B$6*0.73,0)&amp;" to "&amp;ROUND('Start here'!$B$6*0.84,0),INDEX(Paces!$B$5:$K$15,MATCH(H13,Paces!$A$5:$A$15,0),MATCH(Q13,Paces!$B$4:$K$4,0))))))</f>
        <v/>
      </c>
      <c r="J13" s="20"/>
      <c r="K13" s="21"/>
      <c r="L13" s="22"/>
      <c r="M13" s="20"/>
      <c r="N13" s="20"/>
      <c r="O13" s="23" t="str">
        <f aca="false">IF(AND(N(K13)&gt;0,N(L13)&gt;0),L13/K13,"")</f>
        <v/>
      </c>
      <c r="P13" s="24"/>
      <c r="Q13" s="17"/>
    </row>
    <row r="14" customFormat="false" ht="15" hidden="false" customHeight="false" outlineLevel="0" collapsed="false">
      <c r="A14" s="16" t="n">
        <v>46333</v>
      </c>
      <c r="B14" s="17" t="n">
        <v>2</v>
      </c>
      <c r="C14" s="17" t="s">
        <v>52</v>
      </c>
      <c r="D14" s="17" t="s">
        <v>68</v>
      </c>
      <c r="E14" s="17" t="s">
        <v>69</v>
      </c>
      <c r="F14" s="18" t="s">
        <v>79</v>
      </c>
      <c r="G14" s="19" t="n">
        <v>12</v>
      </c>
      <c r="H14" s="17" t="n">
        <f aca="false">IF(C14="Base",'Start here'!$B$7,IF(C14="Build",'Start here'!$B$14,'Start here'!$B$15))</f>
        <v>32</v>
      </c>
      <c r="I14" s="17" t="str">
        <f aca="false">IF(Q14="","",IF(Q14="E","HR under "&amp;ROUND('Start here'!$B$6*0.79,0),IF(Q14="REC","HR under "&amp;ROUND('Start here'!$B$6*0.76,0),IF(Q14="L","HR "&amp;ROUND('Start here'!$B$6*0.73,0)&amp;" to "&amp;ROUND('Start here'!$B$6*0.84,0),INDEX(Paces!$B$5:$K$15,MATCH(H14,Paces!$A$5:$A$15,0),MATCH(Q14,Paces!$B$4:$K$4,0))))))</f>
        <v>HR 142 to 163</v>
      </c>
      <c r="J14" s="20"/>
      <c r="K14" s="21"/>
      <c r="L14" s="22"/>
      <c r="M14" s="20"/>
      <c r="N14" s="20"/>
      <c r="O14" s="23" t="str">
        <f aca="false">IF(AND(N(K14)&gt;0,N(L14)&gt;0),L14/K14,"")</f>
        <v/>
      </c>
      <c r="P14" s="24"/>
      <c r="Q14" s="17" t="s">
        <v>71</v>
      </c>
    </row>
    <row r="15" customFormat="false" ht="15" hidden="false" customHeight="false" outlineLevel="0" collapsed="false">
      <c r="A15" s="16" t="n">
        <v>46334</v>
      </c>
      <c r="B15" s="17" t="n">
        <v>2</v>
      </c>
      <c r="C15" s="17" t="s">
        <v>52</v>
      </c>
      <c r="D15" s="17" t="s">
        <v>72</v>
      </c>
      <c r="E15" s="17" t="s">
        <v>73</v>
      </c>
      <c r="F15" s="18" t="s">
        <v>74</v>
      </c>
      <c r="G15" s="19" t="n">
        <v>3.6</v>
      </c>
      <c r="H15" s="17" t="n">
        <f aca="false">IF(C15="Base",'Start here'!$B$7,IF(C15="Build",'Start here'!$B$14,'Start here'!$B$15))</f>
        <v>32</v>
      </c>
      <c r="I15" s="17" t="str">
        <f aca="false">IF(Q15="","",IF(Q15="E","HR under "&amp;ROUND('Start here'!$B$6*0.79,0),IF(Q15="REC","HR under "&amp;ROUND('Start here'!$B$6*0.76,0),IF(Q15="L","HR "&amp;ROUND('Start here'!$B$6*0.73,0)&amp;" to "&amp;ROUND('Start here'!$B$6*0.84,0),INDEX(Paces!$B$5:$K$15,MATCH(H15,Paces!$A$5:$A$15,0),MATCH(Q15,Paces!$B$4:$K$4,0))))))</f>
        <v>HR under 147</v>
      </c>
      <c r="J15" s="20"/>
      <c r="K15" s="21"/>
      <c r="L15" s="22"/>
      <c r="M15" s="20"/>
      <c r="N15" s="20"/>
      <c r="O15" s="23" t="str">
        <f aca="false">IF(AND(N(K15)&gt;0,N(L15)&gt;0),L15/K15,"")</f>
        <v/>
      </c>
      <c r="P15" s="24"/>
      <c r="Q15" s="17" t="s">
        <v>75</v>
      </c>
    </row>
    <row r="16" customFormat="false" ht="15" hidden="false" customHeight="false" outlineLevel="0" collapsed="false">
      <c r="A16" s="16" t="n">
        <v>46335</v>
      </c>
      <c r="B16" s="17" t="n">
        <v>3</v>
      </c>
      <c r="C16" s="17" t="s">
        <v>52</v>
      </c>
      <c r="D16" s="17" t="s">
        <v>53</v>
      </c>
      <c r="E16" s="17" t="s">
        <v>54</v>
      </c>
      <c r="F16" s="18" t="s">
        <v>55</v>
      </c>
      <c r="G16" s="19"/>
      <c r="H16" s="17" t="n">
        <f aca="false">IF(C16="Base",'Start here'!$B$7,IF(C16="Build",'Start here'!$B$14,'Start here'!$B$15))</f>
        <v>32</v>
      </c>
      <c r="I16" s="17" t="str">
        <f aca="false">IF(Q16="","",IF(Q16="E","HR under "&amp;ROUND('Start here'!$B$6*0.79,0),IF(Q16="REC","HR under "&amp;ROUND('Start here'!$B$6*0.76,0),IF(Q16="L","HR "&amp;ROUND('Start here'!$B$6*0.73,0)&amp;" to "&amp;ROUND('Start here'!$B$6*0.84,0),INDEX(Paces!$B$5:$K$15,MATCH(H16,Paces!$A$5:$A$15,0),MATCH(Q16,Paces!$B$4:$K$4,0))))))</f>
        <v/>
      </c>
      <c r="J16" s="20"/>
      <c r="K16" s="21"/>
      <c r="L16" s="22"/>
      <c r="M16" s="20"/>
      <c r="N16" s="20"/>
      <c r="O16" s="23" t="str">
        <f aca="false">IF(AND(N(K16)&gt;0,N(L16)&gt;0),L16/K16,"")</f>
        <v/>
      </c>
      <c r="P16" s="24"/>
      <c r="Q16" s="17"/>
    </row>
    <row r="17" customFormat="false" ht="15" hidden="false" customHeight="false" outlineLevel="0" collapsed="false">
      <c r="A17" s="16" t="n">
        <v>46336</v>
      </c>
      <c r="B17" s="17" t="n">
        <v>3</v>
      </c>
      <c r="C17" s="17" t="s">
        <v>52</v>
      </c>
      <c r="D17" s="17" t="s">
        <v>56</v>
      </c>
      <c r="E17" s="17" t="s">
        <v>57</v>
      </c>
      <c r="F17" s="18" t="s">
        <v>80</v>
      </c>
      <c r="G17" s="19" t="n">
        <v>7.1</v>
      </c>
      <c r="H17" s="17" t="n">
        <f aca="false">IF(C17="Base",'Start here'!$B$7,IF(C17="Build",'Start here'!$B$14,'Start here'!$B$15))</f>
        <v>32</v>
      </c>
      <c r="I17" s="17" t="str">
        <f aca="false">IF(Q17="","",IF(Q17="E","HR under "&amp;ROUND('Start here'!$B$6*0.79,0),IF(Q17="REC","HR under "&amp;ROUND('Start here'!$B$6*0.76,0),IF(Q17="L","HR "&amp;ROUND('Start here'!$B$6*0.73,0)&amp;" to "&amp;ROUND('Start here'!$B$6*0.84,0),INDEX(Paces!$B$5:$K$15,MATCH(H17,Paces!$A$5:$A$15,0),MATCH(Q17,Paces!$B$4:$K$4,0))))))</f>
        <v>6:05/km</v>
      </c>
      <c r="J17" s="20"/>
      <c r="K17" s="21"/>
      <c r="L17" s="22"/>
      <c r="M17" s="20"/>
      <c r="N17" s="20"/>
      <c r="O17" s="23" t="str">
        <f aca="false">IF(AND(N(K17)&gt;0,N(L17)&gt;0),L17/K17,"")</f>
        <v/>
      </c>
      <c r="P17" s="24"/>
      <c r="Q17" s="17" t="s">
        <v>59</v>
      </c>
    </row>
    <row r="18" customFormat="false" ht="15" hidden="false" customHeight="false" outlineLevel="0" collapsed="false">
      <c r="A18" s="16" t="n">
        <v>46337</v>
      </c>
      <c r="B18" s="17" t="n">
        <v>3</v>
      </c>
      <c r="C18" s="17" t="s">
        <v>52</v>
      </c>
      <c r="D18" s="17" t="s">
        <v>60</v>
      </c>
      <c r="E18" s="17" t="s">
        <v>61</v>
      </c>
      <c r="F18" s="18" t="s">
        <v>81</v>
      </c>
      <c r="G18" s="19" t="n">
        <v>5.3</v>
      </c>
      <c r="H18" s="17" t="n">
        <f aca="false">IF(C18="Base",'Start here'!$B$7,IF(C18="Build",'Start here'!$B$14,'Start here'!$B$15))</f>
        <v>32</v>
      </c>
      <c r="I18" s="17" t="str">
        <f aca="false">IF(Q18="","",IF(Q18="E","HR under "&amp;ROUND('Start here'!$B$6*0.79,0),IF(Q18="REC","HR under "&amp;ROUND('Start here'!$B$6*0.76,0),IF(Q18="L","HR "&amp;ROUND('Start here'!$B$6*0.73,0)&amp;" to "&amp;ROUND('Start here'!$B$6*0.84,0),INDEX(Paces!$B$5:$K$15,MATCH(H18,Paces!$A$5:$A$15,0),MATCH(Q18,Paces!$B$4:$K$4,0))))))</f>
        <v>HR under 153</v>
      </c>
      <c r="J18" s="20"/>
      <c r="K18" s="21"/>
      <c r="L18" s="22"/>
      <c r="M18" s="20"/>
      <c r="N18" s="20"/>
      <c r="O18" s="23" t="str">
        <f aca="false">IF(AND(N(K18)&gt;0,N(L18)&gt;0),L18/K18,"")</f>
        <v/>
      </c>
      <c r="P18" s="24"/>
      <c r="Q18" s="17" t="s">
        <v>63</v>
      </c>
    </row>
    <row r="19" customFormat="false" ht="15" hidden="false" customHeight="false" outlineLevel="0" collapsed="false">
      <c r="A19" s="16" t="n">
        <v>46338</v>
      </c>
      <c r="B19" s="17" t="n">
        <v>3</v>
      </c>
      <c r="C19" s="17" t="s">
        <v>52</v>
      </c>
      <c r="D19" s="17" t="s">
        <v>64</v>
      </c>
      <c r="E19" s="17" t="s">
        <v>65</v>
      </c>
      <c r="F19" s="18" t="s">
        <v>82</v>
      </c>
      <c r="G19" s="19" t="n">
        <v>5</v>
      </c>
      <c r="H19" s="17" t="n">
        <f aca="false">IF(C19="Base",'Start here'!$B$7,IF(C19="Build",'Start here'!$B$14,'Start here'!$B$15))</f>
        <v>32</v>
      </c>
      <c r="I19" s="17" t="str">
        <f aca="false">IF(Q19="","",IF(Q19="E","HR under "&amp;ROUND('Start here'!$B$6*0.79,0),IF(Q19="REC","HR under "&amp;ROUND('Start here'!$B$6*0.76,0),IF(Q19="L","HR "&amp;ROUND('Start here'!$B$6*0.73,0)&amp;" to "&amp;ROUND('Start here'!$B$6*0.84,0),INDEX(Paces!$B$5:$K$15,MATCH(H19,Paces!$A$5:$A$15,0),MATCH(Q19,Paces!$B$4:$K$4,0))))))</f>
        <v>HR under 153</v>
      </c>
      <c r="J19" s="20"/>
      <c r="K19" s="21"/>
      <c r="L19" s="22"/>
      <c r="M19" s="20"/>
      <c r="N19" s="20"/>
      <c r="O19" s="23" t="str">
        <f aca="false">IF(AND(N(K19)&gt;0,N(L19)&gt;0),L19/K19,"")</f>
        <v/>
      </c>
      <c r="P19" s="24"/>
      <c r="Q19" s="17" t="s">
        <v>63</v>
      </c>
    </row>
    <row r="20" customFormat="false" ht="15" hidden="false" customHeight="false" outlineLevel="0" collapsed="false">
      <c r="A20" s="16" t="n">
        <v>46339</v>
      </c>
      <c r="B20" s="17" t="n">
        <v>3</v>
      </c>
      <c r="C20" s="17" t="s">
        <v>52</v>
      </c>
      <c r="D20" s="17" t="s">
        <v>67</v>
      </c>
      <c r="E20" s="17" t="s">
        <v>54</v>
      </c>
      <c r="F20" s="18" t="s">
        <v>55</v>
      </c>
      <c r="G20" s="19"/>
      <c r="H20" s="17" t="n">
        <f aca="false">IF(C20="Base",'Start here'!$B$7,IF(C20="Build",'Start here'!$B$14,'Start here'!$B$15))</f>
        <v>32</v>
      </c>
      <c r="I20" s="17" t="str">
        <f aca="false">IF(Q20="","",IF(Q20="E","HR under "&amp;ROUND('Start here'!$B$6*0.79,0),IF(Q20="REC","HR under "&amp;ROUND('Start here'!$B$6*0.76,0),IF(Q20="L","HR "&amp;ROUND('Start here'!$B$6*0.73,0)&amp;" to "&amp;ROUND('Start here'!$B$6*0.84,0),INDEX(Paces!$B$5:$K$15,MATCH(H20,Paces!$A$5:$A$15,0),MATCH(Q20,Paces!$B$4:$K$4,0))))))</f>
        <v/>
      </c>
      <c r="J20" s="20"/>
      <c r="K20" s="21"/>
      <c r="L20" s="22"/>
      <c r="M20" s="20"/>
      <c r="N20" s="20"/>
      <c r="O20" s="23" t="str">
        <f aca="false">IF(AND(N(K20)&gt;0,N(L20)&gt;0),L20/K20,"")</f>
        <v/>
      </c>
      <c r="P20" s="24"/>
      <c r="Q20" s="17"/>
    </row>
    <row r="21" customFormat="false" ht="15" hidden="false" customHeight="false" outlineLevel="0" collapsed="false">
      <c r="A21" s="16" t="n">
        <v>46340</v>
      </c>
      <c r="B21" s="17" t="n">
        <v>3</v>
      </c>
      <c r="C21" s="17" t="s">
        <v>52</v>
      </c>
      <c r="D21" s="17" t="s">
        <v>68</v>
      </c>
      <c r="E21" s="17" t="s">
        <v>69</v>
      </c>
      <c r="F21" s="18" t="s">
        <v>83</v>
      </c>
      <c r="G21" s="19" t="n">
        <v>13</v>
      </c>
      <c r="H21" s="17" t="n">
        <f aca="false">IF(C21="Base",'Start here'!$B$7,IF(C21="Build",'Start here'!$B$14,'Start here'!$B$15))</f>
        <v>32</v>
      </c>
      <c r="I21" s="17" t="str">
        <f aca="false">IF(Q21="","",IF(Q21="E","HR under "&amp;ROUND('Start here'!$B$6*0.79,0),IF(Q21="REC","HR under "&amp;ROUND('Start here'!$B$6*0.76,0),IF(Q21="L","HR "&amp;ROUND('Start here'!$B$6*0.73,0)&amp;" to "&amp;ROUND('Start here'!$B$6*0.84,0),INDEX(Paces!$B$5:$K$15,MATCH(H21,Paces!$A$5:$A$15,0),MATCH(Q21,Paces!$B$4:$K$4,0))))))</f>
        <v>HR 142 to 163</v>
      </c>
      <c r="J21" s="20"/>
      <c r="K21" s="21"/>
      <c r="L21" s="22"/>
      <c r="M21" s="20"/>
      <c r="N21" s="20"/>
      <c r="O21" s="23" t="str">
        <f aca="false">IF(AND(N(K21)&gt;0,N(L21)&gt;0),L21/K21,"")</f>
        <v/>
      </c>
      <c r="P21" s="24"/>
      <c r="Q21" s="17" t="s">
        <v>71</v>
      </c>
    </row>
    <row r="22" customFormat="false" ht="15" hidden="false" customHeight="false" outlineLevel="0" collapsed="false">
      <c r="A22" s="16" t="n">
        <v>46341</v>
      </c>
      <c r="B22" s="17" t="n">
        <v>3</v>
      </c>
      <c r="C22" s="17" t="s">
        <v>52</v>
      </c>
      <c r="D22" s="17" t="s">
        <v>72</v>
      </c>
      <c r="E22" s="17" t="s">
        <v>73</v>
      </c>
      <c r="F22" s="18" t="s">
        <v>74</v>
      </c>
      <c r="G22" s="19" t="n">
        <v>3.6</v>
      </c>
      <c r="H22" s="17" t="n">
        <f aca="false">IF(C22="Base",'Start here'!$B$7,IF(C22="Build",'Start here'!$B$14,'Start here'!$B$15))</f>
        <v>32</v>
      </c>
      <c r="I22" s="17" t="str">
        <f aca="false">IF(Q22="","",IF(Q22="E","HR under "&amp;ROUND('Start here'!$B$6*0.79,0),IF(Q22="REC","HR under "&amp;ROUND('Start here'!$B$6*0.76,0),IF(Q22="L","HR "&amp;ROUND('Start here'!$B$6*0.73,0)&amp;" to "&amp;ROUND('Start here'!$B$6*0.84,0),INDEX(Paces!$B$5:$K$15,MATCH(H22,Paces!$A$5:$A$15,0),MATCH(Q22,Paces!$B$4:$K$4,0))))))</f>
        <v>HR under 147</v>
      </c>
      <c r="J22" s="20"/>
      <c r="K22" s="21"/>
      <c r="L22" s="22"/>
      <c r="M22" s="20"/>
      <c r="N22" s="20"/>
      <c r="O22" s="23" t="str">
        <f aca="false">IF(AND(N(K22)&gt;0,N(L22)&gt;0),L22/K22,"")</f>
        <v/>
      </c>
      <c r="P22" s="24"/>
      <c r="Q22" s="17" t="s">
        <v>75</v>
      </c>
    </row>
    <row r="23" customFormat="false" ht="15" hidden="false" customHeight="false" outlineLevel="0" collapsed="false">
      <c r="A23" s="16" t="n">
        <v>46342</v>
      </c>
      <c r="B23" s="17" t="n">
        <v>4</v>
      </c>
      <c r="C23" s="17" t="s">
        <v>52</v>
      </c>
      <c r="D23" s="17" t="s">
        <v>53</v>
      </c>
      <c r="E23" s="17" t="s">
        <v>54</v>
      </c>
      <c r="F23" s="18" t="s">
        <v>55</v>
      </c>
      <c r="G23" s="19"/>
      <c r="H23" s="17" t="n">
        <f aca="false">IF(C23="Base",'Start here'!$B$7,IF(C23="Build",'Start here'!$B$14,'Start here'!$B$15))</f>
        <v>32</v>
      </c>
      <c r="I23" s="17" t="str">
        <f aca="false">IF(Q23="","",IF(Q23="E","HR under "&amp;ROUND('Start here'!$B$6*0.79,0),IF(Q23="REC","HR under "&amp;ROUND('Start here'!$B$6*0.76,0),IF(Q23="L","HR "&amp;ROUND('Start here'!$B$6*0.73,0)&amp;" to "&amp;ROUND('Start here'!$B$6*0.84,0),INDEX(Paces!$B$5:$K$15,MATCH(H23,Paces!$A$5:$A$15,0),MATCH(Q23,Paces!$B$4:$K$4,0))))))</f>
        <v/>
      </c>
      <c r="J23" s="20"/>
      <c r="K23" s="21"/>
      <c r="L23" s="22"/>
      <c r="M23" s="20"/>
      <c r="N23" s="20"/>
      <c r="O23" s="23" t="str">
        <f aca="false">IF(AND(N(K23)&gt;0,N(L23)&gt;0),L23/K23,"")</f>
        <v/>
      </c>
      <c r="P23" s="24"/>
      <c r="Q23" s="17"/>
    </row>
    <row r="24" customFormat="false" ht="15" hidden="false" customHeight="false" outlineLevel="0" collapsed="false">
      <c r="A24" s="16" t="n">
        <v>46343</v>
      </c>
      <c r="B24" s="17" t="n">
        <v>4</v>
      </c>
      <c r="C24" s="17" t="s">
        <v>52</v>
      </c>
      <c r="D24" s="17" t="s">
        <v>56</v>
      </c>
      <c r="E24" s="17" t="s">
        <v>57</v>
      </c>
      <c r="F24" s="18" t="s">
        <v>58</v>
      </c>
      <c r="G24" s="19" t="n">
        <v>6.7</v>
      </c>
      <c r="H24" s="17" t="n">
        <f aca="false">IF(C24="Base",'Start here'!$B$7,IF(C24="Build",'Start here'!$B$14,'Start here'!$B$15))</f>
        <v>32</v>
      </c>
      <c r="I24" s="17" t="str">
        <f aca="false">IF(Q24="","",IF(Q24="E","HR under "&amp;ROUND('Start here'!$B$6*0.79,0),IF(Q24="REC","HR under "&amp;ROUND('Start here'!$B$6*0.76,0),IF(Q24="L","HR "&amp;ROUND('Start here'!$B$6*0.73,0)&amp;" to "&amp;ROUND('Start here'!$B$6*0.84,0),INDEX(Paces!$B$5:$K$15,MATCH(H24,Paces!$A$5:$A$15,0),MATCH(Q24,Paces!$B$4:$K$4,0))))))</f>
        <v>6:05/km</v>
      </c>
      <c r="J24" s="20"/>
      <c r="K24" s="21"/>
      <c r="L24" s="22"/>
      <c r="M24" s="20"/>
      <c r="N24" s="20"/>
      <c r="O24" s="23" t="str">
        <f aca="false">IF(AND(N(K24)&gt;0,N(L24)&gt;0),L24/K24,"")</f>
        <v/>
      </c>
      <c r="P24" s="24"/>
      <c r="Q24" s="17" t="s">
        <v>59</v>
      </c>
    </row>
    <row r="25" customFormat="false" ht="15" hidden="false" customHeight="false" outlineLevel="0" collapsed="false">
      <c r="A25" s="16" t="n">
        <v>46344</v>
      </c>
      <c r="B25" s="17" t="n">
        <v>4</v>
      </c>
      <c r="C25" s="17" t="s">
        <v>52</v>
      </c>
      <c r="D25" s="17" t="s">
        <v>60</v>
      </c>
      <c r="E25" s="17" t="s">
        <v>61</v>
      </c>
      <c r="F25" s="18" t="s">
        <v>84</v>
      </c>
      <c r="G25" s="19" t="n">
        <v>4.6</v>
      </c>
      <c r="H25" s="17" t="n">
        <f aca="false">IF(C25="Base",'Start here'!$B$7,IF(C25="Build",'Start here'!$B$14,'Start here'!$B$15))</f>
        <v>32</v>
      </c>
      <c r="I25" s="17" t="str">
        <f aca="false">IF(Q25="","",IF(Q25="E","HR under "&amp;ROUND('Start here'!$B$6*0.79,0),IF(Q25="REC","HR under "&amp;ROUND('Start here'!$B$6*0.76,0),IF(Q25="L","HR "&amp;ROUND('Start here'!$B$6*0.73,0)&amp;" to "&amp;ROUND('Start here'!$B$6*0.84,0),INDEX(Paces!$B$5:$K$15,MATCH(H25,Paces!$A$5:$A$15,0),MATCH(Q25,Paces!$B$4:$K$4,0))))))</f>
        <v>HR under 153</v>
      </c>
      <c r="J25" s="20"/>
      <c r="K25" s="21"/>
      <c r="L25" s="22"/>
      <c r="M25" s="20"/>
      <c r="N25" s="20"/>
      <c r="O25" s="23" t="str">
        <f aca="false">IF(AND(N(K25)&gt;0,N(L25)&gt;0),L25/K25,"")</f>
        <v/>
      </c>
      <c r="P25" s="24"/>
      <c r="Q25" s="17" t="s">
        <v>63</v>
      </c>
    </row>
    <row r="26" customFormat="false" ht="15" hidden="false" customHeight="false" outlineLevel="0" collapsed="false">
      <c r="A26" s="16" t="n">
        <v>46345</v>
      </c>
      <c r="B26" s="17" t="n">
        <v>4</v>
      </c>
      <c r="C26" s="17" t="s">
        <v>52</v>
      </c>
      <c r="D26" s="17" t="s">
        <v>64</v>
      </c>
      <c r="E26" s="17" t="s">
        <v>61</v>
      </c>
      <c r="F26" s="18" t="s">
        <v>85</v>
      </c>
      <c r="G26" s="19" t="n">
        <v>3.9</v>
      </c>
      <c r="H26" s="17" t="n">
        <f aca="false">IF(C26="Base",'Start here'!$B$7,IF(C26="Build",'Start here'!$B$14,'Start here'!$B$15))</f>
        <v>32</v>
      </c>
      <c r="I26" s="17" t="str">
        <f aca="false">IF(Q26="","",IF(Q26="E","HR under "&amp;ROUND('Start here'!$B$6*0.79,0),IF(Q26="REC","HR under "&amp;ROUND('Start here'!$B$6*0.76,0),IF(Q26="L","HR "&amp;ROUND('Start here'!$B$6*0.73,0)&amp;" to "&amp;ROUND('Start here'!$B$6*0.84,0),INDEX(Paces!$B$5:$K$15,MATCH(H26,Paces!$A$5:$A$15,0),MATCH(Q26,Paces!$B$4:$K$4,0))))))</f>
        <v>HR under 153</v>
      </c>
      <c r="J26" s="20"/>
      <c r="K26" s="21"/>
      <c r="L26" s="22"/>
      <c r="M26" s="20"/>
      <c r="N26" s="20"/>
      <c r="O26" s="23" t="str">
        <f aca="false">IF(AND(N(K26)&gt;0,N(L26)&gt;0),L26/K26,"")</f>
        <v/>
      </c>
      <c r="P26" s="24"/>
      <c r="Q26" s="17" t="s">
        <v>63</v>
      </c>
    </row>
    <row r="27" customFormat="false" ht="15" hidden="false" customHeight="false" outlineLevel="0" collapsed="false">
      <c r="A27" s="16" t="n">
        <v>46346</v>
      </c>
      <c r="B27" s="17" t="n">
        <v>4</v>
      </c>
      <c r="C27" s="17" t="s">
        <v>52</v>
      </c>
      <c r="D27" s="17" t="s">
        <v>67</v>
      </c>
      <c r="E27" s="17" t="s">
        <v>54</v>
      </c>
      <c r="F27" s="18" t="s">
        <v>55</v>
      </c>
      <c r="G27" s="19"/>
      <c r="H27" s="17" t="n">
        <f aca="false">IF(C27="Base",'Start here'!$B$7,IF(C27="Build",'Start here'!$B$14,'Start here'!$B$15))</f>
        <v>32</v>
      </c>
      <c r="I27" s="17" t="str">
        <f aca="false">IF(Q27="","",IF(Q27="E","HR under "&amp;ROUND('Start here'!$B$6*0.79,0),IF(Q27="REC","HR under "&amp;ROUND('Start here'!$B$6*0.76,0),IF(Q27="L","HR "&amp;ROUND('Start here'!$B$6*0.73,0)&amp;" to "&amp;ROUND('Start here'!$B$6*0.84,0),INDEX(Paces!$B$5:$K$15,MATCH(H27,Paces!$A$5:$A$15,0),MATCH(Q27,Paces!$B$4:$K$4,0))))))</f>
        <v/>
      </c>
      <c r="J27" s="20"/>
      <c r="K27" s="21"/>
      <c r="L27" s="22"/>
      <c r="M27" s="20"/>
      <c r="N27" s="20"/>
      <c r="O27" s="23" t="str">
        <f aca="false">IF(AND(N(K27)&gt;0,N(L27)&gt;0),L27/K27,"")</f>
        <v/>
      </c>
      <c r="P27" s="24"/>
      <c r="Q27" s="17"/>
    </row>
    <row r="28" customFormat="false" ht="23.85" hidden="false" customHeight="false" outlineLevel="0" collapsed="false">
      <c r="A28" s="16" t="n">
        <v>46347</v>
      </c>
      <c r="B28" s="17" t="n">
        <v>4</v>
      </c>
      <c r="C28" s="17" t="s">
        <v>52</v>
      </c>
      <c r="D28" s="17" t="s">
        <v>68</v>
      </c>
      <c r="E28" s="25" t="s">
        <v>86</v>
      </c>
      <c r="F28" s="26" t="s">
        <v>87</v>
      </c>
      <c r="G28" s="19" t="n">
        <v>8.8</v>
      </c>
      <c r="H28" s="17" t="n">
        <f aca="false">IF(C28="Base",'Start here'!$B$7,IF(C28="Build",'Start here'!$B$14,'Start here'!$B$15))</f>
        <v>32</v>
      </c>
      <c r="I28" s="17" t="str">
        <f aca="false">IF(Q28="","",IF(Q28="E","HR under "&amp;ROUND('Start here'!$B$6*0.79,0),IF(Q28="REC","HR under "&amp;ROUND('Start here'!$B$6*0.76,0),IF(Q28="L","HR "&amp;ROUND('Start here'!$B$6*0.73,0)&amp;" to "&amp;ROUND('Start here'!$B$6*0.84,0),INDEX(Paces!$B$5:$K$15,MATCH(H28,Paces!$A$5:$A$15,0),MATCH(Q28,Paces!$B$4:$K$4,0))))))</f>
        <v/>
      </c>
      <c r="J28" s="20"/>
      <c r="K28" s="21"/>
      <c r="L28" s="22"/>
      <c r="M28" s="20"/>
      <c r="N28" s="20"/>
      <c r="O28" s="23" t="str">
        <f aca="false">IF(AND(N(K28)&gt;0,N(L28)&gt;0),L28/K28,"")</f>
        <v/>
      </c>
      <c r="P28" s="24"/>
      <c r="Q28" s="17"/>
    </row>
    <row r="29" customFormat="false" ht="15" hidden="false" customHeight="false" outlineLevel="0" collapsed="false">
      <c r="A29" s="16" t="n">
        <v>46348</v>
      </c>
      <c r="B29" s="17" t="n">
        <v>4</v>
      </c>
      <c r="C29" s="17" t="s">
        <v>52</v>
      </c>
      <c r="D29" s="17" t="s">
        <v>72</v>
      </c>
      <c r="E29" s="17" t="s">
        <v>73</v>
      </c>
      <c r="F29" s="18" t="s">
        <v>74</v>
      </c>
      <c r="G29" s="19" t="n">
        <v>3.6</v>
      </c>
      <c r="H29" s="17" t="n">
        <f aca="false">IF(C29="Base",'Start here'!$B$7,IF(C29="Build",'Start here'!$B$14,'Start here'!$B$15))</f>
        <v>32</v>
      </c>
      <c r="I29" s="17" t="str">
        <f aca="false">IF(Q29="","",IF(Q29="E","HR under "&amp;ROUND('Start here'!$B$6*0.79,0),IF(Q29="REC","HR under "&amp;ROUND('Start here'!$B$6*0.76,0),IF(Q29="L","HR "&amp;ROUND('Start here'!$B$6*0.73,0)&amp;" to "&amp;ROUND('Start here'!$B$6*0.84,0),INDEX(Paces!$B$5:$K$15,MATCH(H29,Paces!$A$5:$A$15,0),MATCH(Q29,Paces!$B$4:$K$4,0))))))</f>
        <v>HR under 147</v>
      </c>
      <c r="J29" s="20"/>
      <c r="K29" s="21"/>
      <c r="L29" s="22"/>
      <c r="M29" s="20"/>
      <c r="N29" s="20"/>
      <c r="O29" s="23" t="str">
        <f aca="false">IF(AND(N(K29)&gt;0,N(L29)&gt;0),L29/K29,"")</f>
        <v/>
      </c>
      <c r="P29" s="24"/>
      <c r="Q29" s="17" t="s">
        <v>75</v>
      </c>
    </row>
    <row r="30" customFormat="false" ht="15" hidden="false" customHeight="false" outlineLevel="0" collapsed="false">
      <c r="A30" s="16" t="n">
        <v>46349</v>
      </c>
      <c r="B30" s="17" t="n">
        <v>5</v>
      </c>
      <c r="C30" s="17" t="s">
        <v>88</v>
      </c>
      <c r="D30" s="17" t="s">
        <v>53</v>
      </c>
      <c r="E30" s="17" t="s">
        <v>54</v>
      </c>
      <c r="F30" s="18" t="s">
        <v>55</v>
      </c>
      <c r="G30" s="19"/>
      <c r="H30" s="17" t="n">
        <f aca="false">IF(C30="Base",'Start here'!$B$7,IF(C30="Build",'Start here'!$B$14,'Start here'!$B$15))</f>
        <v>32</v>
      </c>
      <c r="I30" s="17" t="str">
        <f aca="false">IF(Q30="","",IF(Q30="E","HR under "&amp;ROUND('Start here'!$B$6*0.79,0),IF(Q30="REC","HR under "&amp;ROUND('Start here'!$B$6*0.76,0),IF(Q30="L","HR "&amp;ROUND('Start here'!$B$6*0.73,0)&amp;" to "&amp;ROUND('Start here'!$B$6*0.84,0),INDEX(Paces!$B$5:$K$15,MATCH(H30,Paces!$A$5:$A$15,0),MATCH(Q30,Paces!$B$4:$K$4,0))))))</f>
        <v/>
      </c>
      <c r="J30" s="20"/>
      <c r="K30" s="21"/>
      <c r="L30" s="22"/>
      <c r="M30" s="20"/>
      <c r="N30" s="20"/>
      <c r="O30" s="23" t="str">
        <f aca="false">IF(AND(N(K30)&gt;0,N(L30)&gt;0),L30/K30,"")</f>
        <v/>
      </c>
      <c r="P30" s="24"/>
      <c r="Q30" s="17"/>
    </row>
    <row r="31" customFormat="false" ht="15" hidden="false" customHeight="false" outlineLevel="0" collapsed="false">
      <c r="A31" s="16" t="n">
        <v>46350</v>
      </c>
      <c r="B31" s="17" t="n">
        <v>5</v>
      </c>
      <c r="C31" s="17" t="s">
        <v>88</v>
      </c>
      <c r="D31" s="17" t="s">
        <v>56</v>
      </c>
      <c r="E31" s="17" t="s">
        <v>57</v>
      </c>
      <c r="F31" s="18" t="s">
        <v>89</v>
      </c>
      <c r="G31" s="19" t="n">
        <v>7.2</v>
      </c>
      <c r="H31" s="17" t="n">
        <f aca="false">IF(C31="Base",'Start here'!$B$7,IF(C31="Build",'Start here'!$B$14,'Start here'!$B$15))</f>
        <v>32</v>
      </c>
      <c r="I31" s="17" t="str">
        <f aca="false">IF(Q31="","",IF(Q31="E","HR under "&amp;ROUND('Start here'!$B$6*0.79,0),IF(Q31="REC","HR under "&amp;ROUND('Start here'!$B$6*0.76,0),IF(Q31="L","HR "&amp;ROUND('Start here'!$B$6*0.73,0)&amp;" to "&amp;ROUND('Start here'!$B$6*0.84,0),INDEX(Paces!$B$5:$K$15,MATCH(H31,Paces!$A$5:$A$15,0),MATCH(Q31,Paces!$B$4:$K$4,0))))))</f>
        <v>6:05/km</v>
      </c>
      <c r="J31" s="20"/>
      <c r="K31" s="21"/>
      <c r="L31" s="22"/>
      <c r="M31" s="20"/>
      <c r="N31" s="20"/>
      <c r="O31" s="23" t="str">
        <f aca="false">IF(AND(N(K31)&gt;0,N(L31)&gt;0),L31/K31,"")</f>
        <v/>
      </c>
      <c r="P31" s="24"/>
      <c r="Q31" s="17" t="s">
        <v>59</v>
      </c>
    </row>
    <row r="32" customFormat="false" ht="15" hidden="false" customHeight="false" outlineLevel="0" collapsed="false">
      <c r="A32" s="16" t="n">
        <v>46351</v>
      </c>
      <c r="B32" s="17" t="n">
        <v>5</v>
      </c>
      <c r="C32" s="17" t="s">
        <v>88</v>
      </c>
      <c r="D32" s="17" t="s">
        <v>60</v>
      </c>
      <c r="E32" s="17" t="s">
        <v>65</v>
      </c>
      <c r="F32" s="18" t="s">
        <v>90</v>
      </c>
      <c r="G32" s="19" t="n">
        <v>5</v>
      </c>
      <c r="H32" s="17" t="n">
        <f aca="false">IF(C32="Base",'Start here'!$B$7,IF(C32="Build",'Start here'!$B$14,'Start here'!$B$15))</f>
        <v>32</v>
      </c>
      <c r="I32" s="17" t="str">
        <f aca="false">IF(Q32="","",IF(Q32="E","HR under "&amp;ROUND('Start here'!$B$6*0.79,0),IF(Q32="REC","HR under "&amp;ROUND('Start here'!$B$6*0.76,0),IF(Q32="L","HR "&amp;ROUND('Start here'!$B$6*0.73,0)&amp;" to "&amp;ROUND('Start here'!$B$6*0.84,0),INDEX(Paces!$B$5:$K$15,MATCH(H32,Paces!$A$5:$A$15,0),MATCH(Q32,Paces!$B$4:$K$4,0))))))</f>
        <v>HR under 153</v>
      </c>
      <c r="J32" s="20"/>
      <c r="K32" s="21"/>
      <c r="L32" s="22"/>
      <c r="M32" s="20"/>
      <c r="N32" s="20"/>
      <c r="O32" s="23" t="str">
        <f aca="false">IF(AND(N(K32)&gt;0,N(L32)&gt;0),L32/K32,"")</f>
        <v/>
      </c>
      <c r="P32" s="24"/>
      <c r="Q32" s="17" t="s">
        <v>63</v>
      </c>
    </row>
    <row r="33" customFormat="false" ht="15" hidden="false" customHeight="false" outlineLevel="0" collapsed="false">
      <c r="A33" s="16" t="n">
        <v>46352</v>
      </c>
      <c r="B33" s="17" t="n">
        <v>5</v>
      </c>
      <c r="C33" s="17" t="s">
        <v>88</v>
      </c>
      <c r="D33" s="17" t="s">
        <v>64</v>
      </c>
      <c r="E33" s="17" t="s">
        <v>91</v>
      </c>
      <c r="F33" s="18" t="s">
        <v>92</v>
      </c>
      <c r="G33" s="19" t="n">
        <v>6.7</v>
      </c>
      <c r="H33" s="17" t="n">
        <f aca="false">IF(C33="Base",'Start here'!$B$7,IF(C33="Build",'Start here'!$B$14,'Start here'!$B$15))</f>
        <v>32</v>
      </c>
      <c r="I33" s="17" t="str">
        <f aca="false">IF(Q33="","",IF(Q33="E","HR under "&amp;ROUND('Start here'!$B$6*0.79,0),IF(Q33="REC","HR under "&amp;ROUND('Start here'!$B$6*0.76,0),IF(Q33="L","HR "&amp;ROUND('Start here'!$B$6*0.73,0)&amp;" to "&amp;ROUND('Start here'!$B$6*0.84,0),INDEX(Paces!$B$5:$K$15,MATCH(H33,Paces!$A$5:$A$15,0),MATCH(Q33,Paces!$B$4:$K$4,0))))))</f>
        <v>63 s per 200 m</v>
      </c>
      <c r="J33" s="20"/>
      <c r="K33" s="21"/>
      <c r="L33" s="22"/>
      <c r="M33" s="20"/>
      <c r="N33" s="20"/>
      <c r="O33" s="23" t="str">
        <f aca="false">IF(AND(N(K33)&gt;0,N(L33)&gt;0),L33/K33,"")</f>
        <v/>
      </c>
      <c r="P33" s="24"/>
      <c r="Q33" s="17" t="s">
        <v>93</v>
      </c>
    </row>
    <row r="34" customFormat="false" ht="15" hidden="false" customHeight="false" outlineLevel="0" collapsed="false">
      <c r="A34" s="16" t="n">
        <v>46353</v>
      </c>
      <c r="B34" s="17" t="n">
        <v>5</v>
      </c>
      <c r="C34" s="17" t="s">
        <v>88</v>
      </c>
      <c r="D34" s="17" t="s">
        <v>67</v>
      </c>
      <c r="E34" s="17" t="s">
        <v>54</v>
      </c>
      <c r="F34" s="18" t="s">
        <v>55</v>
      </c>
      <c r="G34" s="19"/>
      <c r="H34" s="17" t="n">
        <f aca="false">IF(C34="Base",'Start here'!$B$7,IF(C34="Build",'Start here'!$B$14,'Start here'!$B$15))</f>
        <v>32</v>
      </c>
      <c r="I34" s="17" t="str">
        <f aca="false">IF(Q34="","",IF(Q34="E","HR under "&amp;ROUND('Start here'!$B$6*0.79,0),IF(Q34="REC","HR under "&amp;ROUND('Start here'!$B$6*0.76,0),IF(Q34="L","HR "&amp;ROUND('Start here'!$B$6*0.73,0)&amp;" to "&amp;ROUND('Start here'!$B$6*0.84,0),INDEX(Paces!$B$5:$K$15,MATCH(H34,Paces!$A$5:$A$15,0),MATCH(Q34,Paces!$B$4:$K$4,0))))))</f>
        <v/>
      </c>
      <c r="J34" s="20"/>
      <c r="K34" s="21"/>
      <c r="L34" s="22"/>
      <c r="M34" s="20"/>
      <c r="N34" s="20"/>
      <c r="O34" s="23" t="str">
        <f aca="false">IF(AND(N(K34)&gt;0,N(L34)&gt;0),L34/K34,"")</f>
        <v/>
      </c>
      <c r="P34" s="24"/>
      <c r="Q34" s="17"/>
    </row>
    <row r="35" customFormat="false" ht="15" hidden="false" customHeight="false" outlineLevel="0" collapsed="false">
      <c r="A35" s="16" t="n">
        <v>46354</v>
      </c>
      <c r="B35" s="17" t="n">
        <v>5</v>
      </c>
      <c r="C35" s="17" t="s">
        <v>88</v>
      </c>
      <c r="D35" s="17" t="s">
        <v>68</v>
      </c>
      <c r="E35" s="17" t="s">
        <v>69</v>
      </c>
      <c r="F35" s="18" t="s">
        <v>83</v>
      </c>
      <c r="G35" s="19" t="n">
        <v>13</v>
      </c>
      <c r="H35" s="17" t="n">
        <f aca="false">IF(C35="Base",'Start here'!$B$7,IF(C35="Build",'Start here'!$B$14,'Start here'!$B$15))</f>
        <v>32</v>
      </c>
      <c r="I35" s="17" t="str">
        <f aca="false">IF(Q35="","",IF(Q35="E","HR under "&amp;ROUND('Start here'!$B$6*0.79,0),IF(Q35="REC","HR under "&amp;ROUND('Start here'!$B$6*0.76,0),IF(Q35="L","HR "&amp;ROUND('Start here'!$B$6*0.73,0)&amp;" to "&amp;ROUND('Start here'!$B$6*0.84,0),INDEX(Paces!$B$5:$K$15,MATCH(H35,Paces!$A$5:$A$15,0),MATCH(Q35,Paces!$B$4:$K$4,0))))))</f>
        <v>HR 142 to 163</v>
      </c>
      <c r="J35" s="20"/>
      <c r="K35" s="21"/>
      <c r="L35" s="22"/>
      <c r="M35" s="20"/>
      <c r="N35" s="20"/>
      <c r="O35" s="23" t="str">
        <f aca="false">IF(AND(N(K35)&gt;0,N(L35)&gt;0),L35/K35,"")</f>
        <v/>
      </c>
      <c r="P35" s="24"/>
      <c r="Q35" s="17" t="s">
        <v>71</v>
      </c>
    </row>
    <row r="36" customFormat="false" ht="15" hidden="false" customHeight="false" outlineLevel="0" collapsed="false">
      <c r="A36" s="16" t="n">
        <v>46355</v>
      </c>
      <c r="B36" s="17" t="n">
        <v>5</v>
      </c>
      <c r="C36" s="17" t="s">
        <v>88</v>
      </c>
      <c r="D36" s="17" t="s">
        <v>72</v>
      </c>
      <c r="E36" s="17" t="s">
        <v>94</v>
      </c>
      <c r="F36" s="18" t="s">
        <v>95</v>
      </c>
      <c r="G36" s="19" t="n">
        <v>4.6</v>
      </c>
      <c r="H36" s="17" t="n">
        <f aca="false">IF(C36="Base",'Start here'!$B$7,IF(C36="Build",'Start here'!$B$14,'Start here'!$B$15))</f>
        <v>32</v>
      </c>
      <c r="I36" s="17" t="str">
        <f aca="false">IF(Q36="","",IF(Q36="E","HR under "&amp;ROUND('Start here'!$B$6*0.79,0),IF(Q36="REC","HR under "&amp;ROUND('Start here'!$B$6*0.76,0),IF(Q36="L","HR "&amp;ROUND('Start here'!$B$6*0.73,0)&amp;" to "&amp;ROUND('Start here'!$B$6*0.84,0),INDEX(Paces!$B$5:$K$15,MATCH(H36,Paces!$A$5:$A$15,0),MATCH(Q36,Paces!$B$4:$K$4,0))))))</f>
        <v>HR under 147</v>
      </c>
      <c r="J36" s="20"/>
      <c r="K36" s="21"/>
      <c r="L36" s="22"/>
      <c r="M36" s="20"/>
      <c r="N36" s="20"/>
      <c r="O36" s="23" t="str">
        <f aca="false">IF(AND(N(K36)&gt;0,N(L36)&gt;0),L36/K36,"")</f>
        <v/>
      </c>
      <c r="P36" s="24"/>
      <c r="Q36" s="17" t="s">
        <v>75</v>
      </c>
    </row>
    <row r="37" customFormat="false" ht="15" hidden="false" customHeight="false" outlineLevel="0" collapsed="false">
      <c r="A37" s="16" t="n">
        <v>46356</v>
      </c>
      <c r="B37" s="17" t="n">
        <v>6</v>
      </c>
      <c r="C37" s="17" t="s">
        <v>88</v>
      </c>
      <c r="D37" s="17" t="s">
        <v>53</v>
      </c>
      <c r="E37" s="17" t="s">
        <v>54</v>
      </c>
      <c r="F37" s="18" t="s">
        <v>55</v>
      </c>
      <c r="G37" s="19"/>
      <c r="H37" s="17" t="n">
        <f aca="false">IF(C37="Base",'Start here'!$B$7,IF(C37="Build",'Start here'!$B$14,'Start here'!$B$15))</f>
        <v>32</v>
      </c>
      <c r="I37" s="17" t="str">
        <f aca="false">IF(Q37="","",IF(Q37="E","HR under "&amp;ROUND('Start here'!$B$6*0.79,0),IF(Q37="REC","HR under "&amp;ROUND('Start here'!$B$6*0.76,0),IF(Q37="L","HR "&amp;ROUND('Start here'!$B$6*0.73,0)&amp;" to "&amp;ROUND('Start here'!$B$6*0.84,0),INDEX(Paces!$B$5:$K$15,MATCH(H37,Paces!$A$5:$A$15,0),MATCH(Q37,Paces!$B$4:$K$4,0))))))</f>
        <v/>
      </c>
      <c r="J37" s="20"/>
      <c r="K37" s="21"/>
      <c r="L37" s="22"/>
      <c r="M37" s="20"/>
      <c r="N37" s="20"/>
      <c r="O37" s="23" t="str">
        <f aca="false">IF(AND(N(K37)&gt;0,N(L37)&gt;0),L37/K37,"")</f>
        <v/>
      </c>
      <c r="P37" s="24"/>
      <c r="Q37" s="17"/>
    </row>
    <row r="38" customFormat="false" ht="15" hidden="false" customHeight="false" outlineLevel="0" collapsed="false">
      <c r="A38" s="16" t="n">
        <v>46357</v>
      </c>
      <c r="B38" s="17" t="n">
        <v>6</v>
      </c>
      <c r="C38" s="17" t="s">
        <v>88</v>
      </c>
      <c r="D38" s="17" t="s">
        <v>56</v>
      </c>
      <c r="E38" s="17" t="s">
        <v>57</v>
      </c>
      <c r="F38" s="18" t="s">
        <v>96</v>
      </c>
      <c r="G38" s="19" t="n">
        <v>7</v>
      </c>
      <c r="H38" s="17" t="n">
        <f aca="false">IF(C38="Base",'Start here'!$B$7,IF(C38="Build",'Start here'!$B$14,'Start here'!$B$15))</f>
        <v>32</v>
      </c>
      <c r="I38" s="17" t="str">
        <f aca="false">IF(Q38="","",IF(Q38="E","HR under "&amp;ROUND('Start here'!$B$6*0.79,0),IF(Q38="REC","HR under "&amp;ROUND('Start here'!$B$6*0.76,0),IF(Q38="L","HR "&amp;ROUND('Start here'!$B$6*0.73,0)&amp;" to "&amp;ROUND('Start here'!$B$6*0.84,0),INDEX(Paces!$B$5:$K$15,MATCH(H38,Paces!$A$5:$A$15,0),MATCH(Q38,Paces!$B$4:$K$4,0))))))</f>
        <v>6:05/km</v>
      </c>
      <c r="J38" s="20"/>
      <c r="K38" s="21"/>
      <c r="L38" s="22"/>
      <c r="M38" s="20"/>
      <c r="N38" s="20"/>
      <c r="O38" s="23" t="str">
        <f aca="false">IF(AND(N(K38)&gt;0,N(L38)&gt;0),L38/K38,"")</f>
        <v/>
      </c>
      <c r="P38" s="24"/>
      <c r="Q38" s="17" t="s">
        <v>59</v>
      </c>
    </row>
    <row r="39" customFormat="false" ht="15" hidden="false" customHeight="false" outlineLevel="0" collapsed="false">
      <c r="A39" s="16" t="n">
        <v>46358</v>
      </c>
      <c r="B39" s="17" t="n">
        <v>6</v>
      </c>
      <c r="C39" s="17" t="s">
        <v>88</v>
      </c>
      <c r="D39" s="17" t="s">
        <v>60</v>
      </c>
      <c r="E39" s="17" t="s">
        <v>65</v>
      </c>
      <c r="F39" s="18" t="s">
        <v>97</v>
      </c>
      <c r="G39" s="19" t="n">
        <v>5.1</v>
      </c>
      <c r="H39" s="17" t="n">
        <f aca="false">IF(C39="Base",'Start here'!$B$7,IF(C39="Build",'Start here'!$B$14,'Start here'!$B$15))</f>
        <v>32</v>
      </c>
      <c r="I39" s="17" t="str">
        <f aca="false">IF(Q39="","",IF(Q39="E","HR under "&amp;ROUND('Start here'!$B$6*0.79,0),IF(Q39="REC","HR under "&amp;ROUND('Start here'!$B$6*0.76,0),IF(Q39="L","HR "&amp;ROUND('Start here'!$B$6*0.73,0)&amp;" to "&amp;ROUND('Start here'!$B$6*0.84,0),INDEX(Paces!$B$5:$K$15,MATCH(H39,Paces!$A$5:$A$15,0),MATCH(Q39,Paces!$B$4:$K$4,0))))))</f>
        <v>HR under 153</v>
      </c>
      <c r="J39" s="20"/>
      <c r="K39" s="21"/>
      <c r="L39" s="22"/>
      <c r="M39" s="20"/>
      <c r="N39" s="20"/>
      <c r="O39" s="23" t="str">
        <f aca="false">IF(AND(N(K39)&gt;0,N(L39)&gt;0),L39/K39,"")</f>
        <v/>
      </c>
      <c r="P39" s="24"/>
      <c r="Q39" s="17" t="s">
        <v>63</v>
      </c>
    </row>
    <row r="40" customFormat="false" ht="15" hidden="false" customHeight="false" outlineLevel="0" collapsed="false">
      <c r="A40" s="16" t="n">
        <v>46359</v>
      </c>
      <c r="B40" s="17" t="n">
        <v>6</v>
      </c>
      <c r="C40" s="17" t="s">
        <v>88</v>
      </c>
      <c r="D40" s="17" t="s">
        <v>64</v>
      </c>
      <c r="E40" s="17" t="s">
        <v>98</v>
      </c>
      <c r="F40" s="18" t="s">
        <v>99</v>
      </c>
      <c r="G40" s="19" t="n">
        <v>7.5</v>
      </c>
      <c r="H40" s="17" t="n">
        <f aca="false">IF(C40="Base",'Start here'!$B$7,IF(C40="Build",'Start here'!$B$14,'Start here'!$B$15))</f>
        <v>32</v>
      </c>
      <c r="I40" s="17" t="str">
        <f aca="false">IF(Q40="","",IF(Q40="E","HR under "&amp;ROUND('Start here'!$B$6*0.79,0),IF(Q40="REC","HR under "&amp;ROUND('Start here'!$B$6*0.76,0),IF(Q40="L","HR "&amp;ROUND('Start here'!$B$6*0.73,0)&amp;" to "&amp;ROUND('Start here'!$B$6*0.84,0),INDEX(Paces!$B$5:$K$15,MATCH(H40,Paces!$A$5:$A$15,0),MATCH(Q40,Paces!$B$4:$K$4,0))))))</f>
        <v>5:35/km (2:14 per 400 m)</v>
      </c>
      <c r="J40" s="20"/>
      <c r="K40" s="21"/>
      <c r="L40" s="22"/>
      <c r="M40" s="20"/>
      <c r="N40" s="20"/>
      <c r="O40" s="23" t="str">
        <f aca="false">IF(AND(N(K40)&gt;0,N(L40)&gt;0),L40/K40,"")</f>
        <v/>
      </c>
      <c r="P40" s="24"/>
      <c r="Q40" s="17" t="s">
        <v>100</v>
      </c>
    </row>
    <row r="41" customFormat="false" ht="15" hidden="false" customHeight="false" outlineLevel="0" collapsed="false">
      <c r="A41" s="16" t="n">
        <v>46360</v>
      </c>
      <c r="B41" s="17" t="n">
        <v>6</v>
      </c>
      <c r="C41" s="17" t="s">
        <v>88</v>
      </c>
      <c r="D41" s="17" t="s">
        <v>67</v>
      </c>
      <c r="E41" s="17" t="s">
        <v>54</v>
      </c>
      <c r="F41" s="18" t="s">
        <v>55</v>
      </c>
      <c r="G41" s="19"/>
      <c r="H41" s="17" t="n">
        <f aca="false">IF(C41="Base",'Start here'!$B$7,IF(C41="Build",'Start here'!$B$14,'Start here'!$B$15))</f>
        <v>32</v>
      </c>
      <c r="I41" s="17" t="str">
        <f aca="false">IF(Q41="","",IF(Q41="E","HR under "&amp;ROUND('Start here'!$B$6*0.79,0),IF(Q41="REC","HR under "&amp;ROUND('Start here'!$B$6*0.76,0),IF(Q41="L","HR "&amp;ROUND('Start here'!$B$6*0.73,0)&amp;" to "&amp;ROUND('Start here'!$B$6*0.84,0),INDEX(Paces!$B$5:$K$15,MATCH(H41,Paces!$A$5:$A$15,0),MATCH(Q41,Paces!$B$4:$K$4,0))))))</f>
        <v/>
      </c>
      <c r="J41" s="20"/>
      <c r="K41" s="21"/>
      <c r="L41" s="22"/>
      <c r="M41" s="20"/>
      <c r="N41" s="20"/>
      <c r="O41" s="23" t="str">
        <f aca="false">IF(AND(N(K41)&gt;0,N(L41)&gt;0),L41/K41,"")</f>
        <v/>
      </c>
      <c r="P41" s="24"/>
      <c r="Q41" s="17"/>
    </row>
    <row r="42" customFormat="false" ht="15" hidden="false" customHeight="false" outlineLevel="0" collapsed="false">
      <c r="A42" s="16" t="n">
        <v>46361</v>
      </c>
      <c r="B42" s="17" t="n">
        <v>6</v>
      </c>
      <c r="C42" s="17" t="s">
        <v>88</v>
      </c>
      <c r="D42" s="17" t="s">
        <v>68</v>
      </c>
      <c r="E42" s="17" t="s">
        <v>101</v>
      </c>
      <c r="F42" s="18" t="s">
        <v>102</v>
      </c>
      <c r="G42" s="19" t="n">
        <v>13</v>
      </c>
      <c r="H42" s="17" t="n">
        <f aca="false">IF(C42="Base",'Start here'!$B$7,IF(C42="Build",'Start here'!$B$14,'Start here'!$B$15))</f>
        <v>32</v>
      </c>
      <c r="I42" s="17" t="str">
        <f aca="false">IF(Q42="","",IF(Q42="E","HR under "&amp;ROUND('Start here'!$B$6*0.79,0),IF(Q42="REC","HR under "&amp;ROUND('Start here'!$B$6*0.76,0),IF(Q42="L","HR "&amp;ROUND('Start here'!$B$6*0.73,0)&amp;" to "&amp;ROUND('Start here'!$B$6*0.84,0),INDEX(Paces!$B$5:$K$15,MATCH(H42,Paces!$A$5:$A$15,0),MATCH(Q42,Paces!$B$4:$K$4,0))))))</f>
        <v>6:40/km</v>
      </c>
      <c r="J42" s="20"/>
      <c r="K42" s="21"/>
      <c r="L42" s="22"/>
      <c r="M42" s="20"/>
      <c r="N42" s="20"/>
      <c r="O42" s="23" t="str">
        <f aca="false">IF(AND(N(K42)&gt;0,N(L42)&gt;0),L42/K42,"")</f>
        <v/>
      </c>
      <c r="P42" s="24"/>
      <c r="Q42" s="17" t="s">
        <v>103</v>
      </c>
    </row>
    <row r="43" customFormat="false" ht="15" hidden="false" customHeight="false" outlineLevel="0" collapsed="false">
      <c r="A43" s="16" t="n">
        <v>46362</v>
      </c>
      <c r="B43" s="17" t="n">
        <v>6</v>
      </c>
      <c r="C43" s="17" t="s">
        <v>88</v>
      </c>
      <c r="D43" s="17" t="s">
        <v>72</v>
      </c>
      <c r="E43" s="17" t="s">
        <v>94</v>
      </c>
      <c r="F43" s="18" t="s">
        <v>95</v>
      </c>
      <c r="G43" s="19" t="n">
        <v>4.6</v>
      </c>
      <c r="H43" s="17" t="n">
        <f aca="false">IF(C43="Base",'Start here'!$B$7,IF(C43="Build",'Start here'!$B$14,'Start here'!$B$15))</f>
        <v>32</v>
      </c>
      <c r="I43" s="17" t="str">
        <f aca="false">IF(Q43="","",IF(Q43="E","HR under "&amp;ROUND('Start here'!$B$6*0.79,0),IF(Q43="REC","HR under "&amp;ROUND('Start here'!$B$6*0.76,0),IF(Q43="L","HR "&amp;ROUND('Start here'!$B$6*0.73,0)&amp;" to "&amp;ROUND('Start here'!$B$6*0.84,0),INDEX(Paces!$B$5:$K$15,MATCH(H43,Paces!$A$5:$A$15,0),MATCH(Q43,Paces!$B$4:$K$4,0))))))</f>
        <v>HR under 147</v>
      </c>
      <c r="J43" s="20"/>
      <c r="K43" s="21"/>
      <c r="L43" s="22"/>
      <c r="M43" s="20"/>
      <c r="N43" s="20"/>
      <c r="O43" s="23" t="str">
        <f aca="false">IF(AND(N(K43)&gt;0,N(L43)&gt;0),L43/K43,"")</f>
        <v/>
      </c>
      <c r="P43" s="24"/>
      <c r="Q43" s="17" t="s">
        <v>75</v>
      </c>
    </row>
    <row r="44" customFormat="false" ht="15" hidden="false" customHeight="false" outlineLevel="0" collapsed="false">
      <c r="A44" s="16" t="n">
        <v>46363</v>
      </c>
      <c r="B44" s="17" t="n">
        <v>7</v>
      </c>
      <c r="C44" s="17" t="s">
        <v>88</v>
      </c>
      <c r="D44" s="17" t="s">
        <v>53</v>
      </c>
      <c r="E44" s="17" t="s">
        <v>54</v>
      </c>
      <c r="F44" s="18" t="s">
        <v>55</v>
      </c>
      <c r="G44" s="19"/>
      <c r="H44" s="17" t="n">
        <f aca="false">IF(C44="Base",'Start here'!$B$7,IF(C44="Build",'Start here'!$B$14,'Start here'!$B$15))</f>
        <v>32</v>
      </c>
      <c r="I44" s="17" t="str">
        <f aca="false">IF(Q44="","",IF(Q44="E","HR under "&amp;ROUND('Start here'!$B$6*0.79,0),IF(Q44="REC","HR under "&amp;ROUND('Start here'!$B$6*0.76,0),IF(Q44="L","HR "&amp;ROUND('Start here'!$B$6*0.73,0)&amp;" to "&amp;ROUND('Start here'!$B$6*0.84,0),INDEX(Paces!$B$5:$K$15,MATCH(H44,Paces!$A$5:$A$15,0),MATCH(Q44,Paces!$B$4:$K$4,0))))))</f>
        <v/>
      </c>
      <c r="J44" s="20"/>
      <c r="K44" s="21"/>
      <c r="L44" s="22"/>
      <c r="M44" s="20"/>
      <c r="N44" s="20"/>
      <c r="O44" s="23" t="str">
        <f aca="false">IF(AND(N(K44)&gt;0,N(L44)&gt;0),L44/K44,"")</f>
        <v/>
      </c>
      <c r="P44" s="24"/>
      <c r="Q44" s="17"/>
    </row>
    <row r="45" customFormat="false" ht="15" hidden="false" customHeight="false" outlineLevel="0" collapsed="false">
      <c r="A45" s="16" t="n">
        <v>46364</v>
      </c>
      <c r="B45" s="17" t="n">
        <v>7</v>
      </c>
      <c r="C45" s="17" t="s">
        <v>88</v>
      </c>
      <c r="D45" s="17" t="s">
        <v>56</v>
      </c>
      <c r="E45" s="17" t="s">
        <v>57</v>
      </c>
      <c r="F45" s="18" t="s">
        <v>104</v>
      </c>
      <c r="G45" s="19" t="n">
        <v>7.7</v>
      </c>
      <c r="H45" s="17" t="n">
        <f aca="false">IF(C45="Base",'Start here'!$B$7,IF(C45="Build",'Start here'!$B$14,'Start here'!$B$15))</f>
        <v>32</v>
      </c>
      <c r="I45" s="17" t="str">
        <f aca="false">IF(Q45="","",IF(Q45="E","HR under "&amp;ROUND('Start here'!$B$6*0.79,0),IF(Q45="REC","HR under "&amp;ROUND('Start here'!$B$6*0.76,0),IF(Q45="L","HR "&amp;ROUND('Start here'!$B$6*0.73,0)&amp;" to "&amp;ROUND('Start here'!$B$6*0.84,0),INDEX(Paces!$B$5:$K$15,MATCH(H45,Paces!$A$5:$A$15,0),MATCH(Q45,Paces!$B$4:$K$4,0))))))</f>
        <v>6:05/km</v>
      </c>
      <c r="J45" s="20"/>
      <c r="K45" s="21"/>
      <c r="L45" s="22"/>
      <c r="M45" s="20"/>
      <c r="N45" s="20"/>
      <c r="O45" s="23" t="str">
        <f aca="false">IF(AND(N(K45)&gt;0,N(L45)&gt;0),L45/K45,"")</f>
        <v/>
      </c>
      <c r="P45" s="24"/>
      <c r="Q45" s="17" t="s">
        <v>59</v>
      </c>
    </row>
    <row r="46" customFormat="false" ht="15" hidden="false" customHeight="false" outlineLevel="0" collapsed="false">
      <c r="A46" s="16" t="n">
        <v>46365</v>
      </c>
      <c r="B46" s="17" t="n">
        <v>7</v>
      </c>
      <c r="C46" s="17" t="s">
        <v>88</v>
      </c>
      <c r="D46" s="17" t="s">
        <v>60</v>
      </c>
      <c r="E46" s="17" t="s">
        <v>65</v>
      </c>
      <c r="F46" s="18" t="s">
        <v>97</v>
      </c>
      <c r="G46" s="19" t="n">
        <v>5.1</v>
      </c>
      <c r="H46" s="17" t="n">
        <f aca="false">IF(C46="Base",'Start here'!$B$7,IF(C46="Build",'Start here'!$B$14,'Start here'!$B$15))</f>
        <v>32</v>
      </c>
      <c r="I46" s="17" t="str">
        <f aca="false">IF(Q46="","",IF(Q46="E","HR under "&amp;ROUND('Start here'!$B$6*0.79,0),IF(Q46="REC","HR under "&amp;ROUND('Start here'!$B$6*0.76,0),IF(Q46="L","HR "&amp;ROUND('Start here'!$B$6*0.73,0)&amp;" to "&amp;ROUND('Start here'!$B$6*0.84,0),INDEX(Paces!$B$5:$K$15,MATCH(H46,Paces!$A$5:$A$15,0),MATCH(Q46,Paces!$B$4:$K$4,0))))))</f>
        <v>HR under 153</v>
      </c>
      <c r="J46" s="20"/>
      <c r="K46" s="21"/>
      <c r="L46" s="22"/>
      <c r="M46" s="20"/>
      <c r="N46" s="20"/>
      <c r="O46" s="23" t="str">
        <f aca="false">IF(AND(N(K46)&gt;0,N(L46)&gt;0),L46/K46,"")</f>
        <v/>
      </c>
      <c r="P46" s="24"/>
      <c r="Q46" s="17" t="s">
        <v>63</v>
      </c>
    </row>
    <row r="47" customFormat="false" ht="15" hidden="false" customHeight="false" outlineLevel="0" collapsed="false">
      <c r="A47" s="16" t="n">
        <v>46366</v>
      </c>
      <c r="B47" s="17" t="n">
        <v>7</v>
      </c>
      <c r="C47" s="17" t="s">
        <v>88</v>
      </c>
      <c r="D47" s="17" t="s">
        <v>64</v>
      </c>
      <c r="E47" s="17" t="s">
        <v>91</v>
      </c>
      <c r="F47" s="18" t="s">
        <v>105</v>
      </c>
      <c r="G47" s="19" t="n">
        <v>7.1</v>
      </c>
      <c r="H47" s="17" t="n">
        <f aca="false">IF(C47="Base",'Start here'!$B$7,IF(C47="Build",'Start here'!$B$14,'Start here'!$B$15))</f>
        <v>32</v>
      </c>
      <c r="I47" s="17" t="str">
        <f aca="false">IF(Q47="","",IF(Q47="E","HR under "&amp;ROUND('Start here'!$B$6*0.79,0),IF(Q47="REC","HR under "&amp;ROUND('Start here'!$B$6*0.76,0),IF(Q47="L","HR "&amp;ROUND('Start here'!$B$6*0.73,0)&amp;" to "&amp;ROUND('Start here'!$B$6*0.84,0),INDEX(Paces!$B$5:$K$15,MATCH(H47,Paces!$A$5:$A$15,0),MATCH(Q47,Paces!$B$4:$K$4,0))))))</f>
        <v>95 s per 300 m</v>
      </c>
      <c r="J47" s="20"/>
      <c r="K47" s="21"/>
      <c r="L47" s="22"/>
      <c r="M47" s="20"/>
      <c r="N47" s="20"/>
      <c r="O47" s="23" t="str">
        <f aca="false">IF(AND(N(K47)&gt;0,N(L47)&gt;0),L47/K47,"")</f>
        <v/>
      </c>
      <c r="P47" s="24"/>
      <c r="Q47" s="17" t="s">
        <v>106</v>
      </c>
    </row>
    <row r="48" customFormat="false" ht="15" hidden="false" customHeight="false" outlineLevel="0" collapsed="false">
      <c r="A48" s="16" t="n">
        <v>46367</v>
      </c>
      <c r="B48" s="17" t="n">
        <v>7</v>
      </c>
      <c r="C48" s="17" t="s">
        <v>88</v>
      </c>
      <c r="D48" s="17" t="s">
        <v>67</v>
      </c>
      <c r="E48" s="17" t="s">
        <v>54</v>
      </c>
      <c r="F48" s="18" t="s">
        <v>55</v>
      </c>
      <c r="G48" s="19"/>
      <c r="H48" s="17" t="n">
        <f aca="false">IF(C48="Base",'Start here'!$B$7,IF(C48="Build",'Start here'!$B$14,'Start here'!$B$15))</f>
        <v>32</v>
      </c>
      <c r="I48" s="17" t="str">
        <f aca="false">IF(Q48="","",IF(Q48="E","HR under "&amp;ROUND('Start here'!$B$6*0.79,0),IF(Q48="REC","HR under "&amp;ROUND('Start here'!$B$6*0.76,0),IF(Q48="L","HR "&amp;ROUND('Start here'!$B$6*0.73,0)&amp;" to "&amp;ROUND('Start here'!$B$6*0.84,0),INDEX(Paces!$B$5:$K$15,MATCH(H48,Paces!$A$5:$A$15,0),MATCH(Q48,Paces!$B$4:$K$4,0))))))</f>
        <v/>
      </c>
      <c r="J48" s="20"/>
      <c r="K48" s="21"/>
      <c r="L48" s="22"/>
      <c r="M48" s="20"/>
      <c r="N48" s="20"/>
      <c r="O48" s="23" t="str">
        <f aca="false">IF(AND(N(K48)&gt;0,N(L48)&gt;0),L48/K48,"")</f>
        <v/>
      </c>
      <c r="P48" s="24"/>
      <c r="Q48" s="17"/>
    </row>
    <row r="49" customFormat="false" ht="15" hidden="false" customHeight="false" outlineLevel="0" collapsed="false">
      <c r="A49" s="16" t="n">
        <v>46368</v>
      </c>
      <c r="B49" s="17" t="n">
        <v>7</v>
      </c>
      <c r="C49" s="17" t="s">
        <v>88</v>
      </c>
      <c r="D49" s="17" t="s">
        <v>68</v>
      </c>
      <c r="E49" s="17" t="s">
        <v>69</v>
      </c>
      <c r="F49" s="18" t="s">
        <v>107</v>
      </c>
      <c r="G49" s="19" t="n">
        <v>14</v>
      </c>
      <c r="H49" s="17" t="n">
        <f aca="false">IF(C49="Base",'Start here'!$B$7,IF(C49="Build",'Start here'!$B$14,'Start here'!$B$15))</f>
        <v>32</v>
      </c>
      <c r="I49" s="17" t="str">
        <f aca="false">IF(Q49="","",IF(Q49="E","HR under "&amp;ROUND('Start here'!$B$6*0.79,0),IF(Q49="REC","HR under "&amp;ROUND('Start here'!$B$6*0.76,0),IF(Q49="L","HR "&amp;ROUND('Start here'!$B$6*0.73,0)&amp;" to "&amp;ROUND('Start here'!$B$6*0.84,0),INDEX(Paces!$B$5:$K$15,MATCH(H49,Paces!$A$5:$A$15,0),MATCH(Q49,Paces!$B$4:$K$4,0))))))</f>
        <v>HR 142 to 163</v>
      </c>
      <c r="J49" s="20"/>
      <c r="K49" s="21"/>
      <c r="L49" s="22"/>
      <c r="M49" s="20"/>
      <c r="N49" s="20"/>
      <c r="O49" s="23" t="str">
        <f aca="false">IF(AND(N(K49)&gt;0,N(L49)&gt;0),L49/K49,"")</f>
        <v/>
      </c>
      <c r="P49" s="24"/>
      <c r="Q49" s="17" t="s">
        <v>71</v>
      </c>
    </row>
    <row r="50" customFormat="false" ht="15" hidden="false" customHeight="false" outlineLevel="0" collapsed="false">
      <c r="A50" s="16" t="n">
        <v>46369</v>
      </c>
      <c r="B50" s="17" t="n">
        <v>7</v>
      </c>
      <c r="C50" s="17" t="s">
        <v>88</v>
      </c>
      <c r="D50" s="17" t="s">
        <v>72</v>
      </c>
      <c r="E50" s="17" t="s">
        <v>94</v>
      </c>
      <c r="F50" s="18" t="s">
        <v>95</v>
      </c>
      <c r="G50" s="19" t="n">
        <v>4.6</v>
      </c>
      <c r="H50" s="17" t="n">
        <f aca="false">IF(C50="Base",'Start here'!$B$7,IF(C50="Build",'Start here'!$B$14,'Start here'!$B$15))</f>
        <v>32</v>
      </c>
      <c r="I50" s="17" t="str">
        <f aca="false">IF(Q50="","",IF(Q50="E","HR under "&amp;ROUND('Start here'!$B$6*0.79,0),IF(Q50="REC","HR under "&amp;ROUND('Start here'!$B$6*0.76,0),IF(Q50="L","HR "&amp;ROUND('Start here'!$B$6*0.73,0)&amp;" to "&amp;ROUND('Start here'!$B$6*0.84,0),INDEX(Paces!$B$5:$K$15,MATCH(H50,Paces!$A$5:$A$15,0),MATCH(Q50,Paces!$B$4:$K$4,0))))))</f>
        <v>HR under 147</v>
      </c>
      <c r="J50" s="20"/>
      <c r="K50" s="21"/>
      <c r="L50" s="22"/>
      <c r="M50" s="20"/>
      <c r="N50" s="20"/>
      <c r="O50" s="23" t="str">
        <f aca="false">IF(AND(N(K50)&gt;0,N(L50)&gt;0),L50/K50,"")</f>
        <v/>
      </c>
      <c r="P50" s="24"/>
      <c r="Q50" s="17" t="s">
        <v>75</v>
      </c>
    </row>
    <row r="51" customFormat="false" ht="15" hidden="false" customHeight="false" outlineLevel="0" collapsed="false">
      <c r="A51" s="16" t="n">
        <v>46370</v>
      </c>
      <c r="B51" s="17" t="n">
        <v>8</v>
      </c>
      <c r="C51" s="17" t="s">
        <v>88</v>
      </c>
      <c r="D51" s="17" t="s">
        <v>53</v>
      </c>
      <c r="E51" s="17" t="s">
        <v>54</v>
      </c>
      <c r="F51" s="18" t="s">
        <v>55</v>
      </c>
      <c r="G51" s="19"/>
      <c r="H51" s="17" t="n">
        <f aca="false">IF(C51="Base",'Start here'!$B$7,IF(C51="Build",'Start here'!$B$14,'Start here'!$B$15))</f>
        <v>32</v>
      </c>
      <c r="I51" s="17" t="str">
        <f aca="false">IF(Q51="","",IF(Q51="E","HR under "&amp;ROUND('Start here'!$B$6*0.79,0),IF(Q51="REC","HR under "&amp;ROUND('Start here'!$B$6*0.76,0),IF(Q51="L","HR "&amp;ROUND('Start here'!$B$6*0.73,0)&amp;" to "&amp;ROUND('Start here'!$B$6*0.84,0),INDEX(Paces!$B$5:$K$15,MATCH(H51,Paces!$A$5:$A$15,0),MATCH(Q51,Paces!$B$4:$K$4,0))))))</f>
        <v/>
      </c>
      <c r="J51" s="20"/>
      <c r="K51" s="21"/>
      <c r="L51" s="22"/>
      <c r="M51" s="20"/>
      <c r="N51" s="20"/>
      <c r="O51" s="23" t="str">
        <f aca="false">IF(AND(N(K51)&gt;0,N(L51)&gt;0),L51/K51,"")</f>
        <v/>
      </c>
      <c r="P51" s="24"/>
      <c r="Q51" s="17"/>
    </row>
    <row r="52" customFormat="false" ht="15" hidden="false" customHeight="false" outlineLevel="0" collapsed="false">
      <c r="A52" s="16" t="n">
        <v>46371</v>
      </c>
      <c r="B52" s="17" t="n">
        <v>8</v>
      </c>
      <c r="C52" s="17" t="s">
        <v>88</v>
      </c>
      <c r="D52" s="17" t="s">
        <v>56</v>
      </c>
      <c r="E52" s="17" t="s">
        <v>57</v>
      </c>
      <c r="F52" s="18" t="s">
        <v>58</v>
      </c>
      <c r="G52" s="19" t="n">
        <v>6.7</v>
      </c>
      <c r="H52" s="17" t="n">
        <f aca="false">IF(C52="Base",'Start here'!$B$7,IF(C52="Build",'Start here'!$B$14,'Start here'!$B$15))</f>
        <v>32</v>
      </c>
      <c r="I52" s="17" t="str">
        <f aca="false">IF(Q52="","",IF(Q52="E","HR under "&amp;ROUND('Start here'!$B$6*0.79,0),IF(Q52="REC","HR under "&amp;ROUND('Start here'!$B$6*0.76,0),IF(Q52="L","HR "&amp;ROUND('Start here'!$B$6*0.73,0)&amp;" to "&amp;ROUND('Start here'!$B$6*0.84,0),INDEX(Paces!$B$5:$K$15,MATCH(H52,Paces!$A$5:$A$15,0),MATCH(Q52,Paces!$B$4:$K$4,0))))))</f>
        <v>6:05/km</v>
      </c>
      <c r="J52" s="20"/>
      <c r="K52" s="21"/>
      <c r="L52" s="22"/>
      <c r="M52" s="20"/>
      <c r="N52" s="20"/>
      <c r="O52" s="23" t="str">
        <f aca="false">IF(AND(N(K52)&gt;0,N(L52)&gt;0),L52/K52,"")</f>
        <v/>
      </c>
      <c r="P52" s="24"/>
      <c r="Q52" s="17" t="s">
        <v>59</v>
      </c>
    </row>
    <row r="53" customFormat="false" ht="15" hidden="false" customHeight="false" outlineLevel="0" collapsed="false">
      <c r="A53" s="16" t="n">
        <v>46372</v>
      </c>
      <c r="B53" s="17" t="n">
        <v>8</v>
      </c>
      <c r="C53" s="17" t="s">
        <v>88</v>
      </c>
      <c r="D53" s="17" t="s">
        <v>60</v>
      </c>
      <c r="E53" s="17" t="s">
        <v>65</v>
      </c>
      <c r="F53" s="18" t="s">
        <v>108</v>
      </c>
      <c r="G53" s="19" t="n">
        <v>5</v>
      </c>
      <c r="H53" s="17" t="n">
        <f aca="false">IF(C53="Base",'Start here'!$B$7,IF(C53="Build",'Start here'!$B$14,'Start here'!$B$15))</f>
        <v>32</v>
      </c>
      <c r="I53" s="17" t="str">
        <f aca="false">IF(Q53="","",IF(Q53="E","HR under "&amp;ROUND('Start here'!$B$6*0.79,0),IF(Q53="REC","HR under "&amp;ROUND('Start here'!$B$6*0.76,0),IF(Q53="L","HR "&amp;ROUND('Start here'!$B$6*0.73,0)&amp;" to "&amp;ROUND('Start here'!$B$6*0.84,0),INDEX(Paces!$B$5:$K$15,MATCH(H53,Paces!$A$5:$A$15,0),MATCH(Q53,Paces!$B$4:$K$4,0))))))</f>
        <v>HR under 153</v>
      </c>
      <c r="J53" s="20"/>
      <c r="K53" s="21"/>
      <c r="L53" s="22"/>
      <c r="M53" s="20"/>
      <c r="N53" s="20"/>
      <c r="O53" s="23" t="str">
        <f aca="false">IF(AND(N(K53)&gt;0,N(L53)&gt;0),L53/K53,"")</f>
        <v/>
      </c>
      <c r="P53" s="24"/>
      <c r="Q53" s="17" t="s">
        <v>63</v>
      </c>
    </row>
    <row r="54" customFormat="false" ht="15" hidden="false" customHeight="false" outlineLevel="0" collapsed="false">
      <c r="A54" s="16" t="n">
        <v>46373</v>
      </c>
      <c r="B54" s="17" t="n">
        <v>8</v>
      </c>
      <c r="C54" s="17" t="s">
        <v>88</v>
      </c>
      <c r="D54" s="17" t="s">
        <v>64</v>
      </c>
      <c r="E54" s="17" t="s">
        <v>61</v>
      </c>
      <c r="F54" s="18" t="s">
        <v>109</v>
      </c>
      <c r="G54" s="19" t="n">
        <v>4</v>
      </c>
      <c r="H54" s="17" t="n">
        <f aca="false">IF(C54="Base",'Start here'!$B$7,IF(C54="Build",'Start here'!$B$14,'Start here'!$B$15))</f>
        <v>32</v>
      </c>
      <c r="I54" s="17" t="str">
        <f aca="false">IF(Q54="","",IF(Q54="E","HR under "&amp;ROUND('Start here'!$B$6*0.79,0),IF(Q54="REC","HR under "&amp;ROUND('Start here'!$B$6*0.76,0),IF(Q54="L","HR "&amp;ROUND('Start here'!$B$6*0.73,0)&amp;" to "&amp;ROUND('Start here'!$B$6*0.84,0),INDEX(Paces!$B$5:$K$15,MATCH(H54,Paces!$A$5:$A$15,0),MATCH(Q54,Paces!$B$4:$K$4,0))))))</f>
        <v>HR under 153</v>
      </c>
      <c r="J54" s="20"/>
      <c r="K54" s="21"/>
      <c r="L54" s="22"/>
      <c r="M54" s="20"/>
      <c r="N54" s="20"/>
      <c r="O54" s="23" t="str">
        <f aca="false">IF(AND(N(K54)&gt;0,N(L54)&gt;0),L54/K54,"")</f>
        <v/>
      </c>
      <c r="P54" s="24"/>
      <c r="Q54" s="17" t="s">
        <v>63</v>
      </c>
    </row>
    <row r="55" customFormat="false" ht="15" hidden="false" customHeight="false" outlineLevel="0" collapsed="false">
      <c r="A55" s="16" t="n">
        <v>46374</v>
      </c>
      <c r="B55" s="17" t="n">
        <v>8</v>
      </c>
      <c r="C55" s="17" t="s">
        <v>88</v>
      </c>
      <c r="D55" s="17" t="s">
        <v>67</v>
      </c>
      <c r="E55" s="17" t="s">
        <v>54</v>
      </c>
      <c r="F55" s="18" t="s">
        <v>55</v>
      </c>
      <c r="G55" s="19"/>
      <c r="H55" s="17" t="n">
        <f aca="false">IF(C55="Base",'Start here'!$B$7,IF(C55="Build",'Start here'!$B$14,'Start here'!$B$15))</f>
        <v>32</v>
      </c>
      <c r="I55" s="17" t="str">
        <f aca="false">IF(Q55="","",IF(Q55="E","HR under "&amp;ROUND('Start here'!$B$6*0.79,0),IF(Q55="REC","HR under "&amp;ROUND('Start here'!$B$6*0.76,0),IF(Q55="L","HR "&amp;ROUND('Start here'!$B$6*0.73,0)&amp;" to "&amp;ROUND('Start here'!$B$6*0.84,0),INDEX(Paces!$B$5:$K$15,MATCH(H55,Paces!$A$5:$A$15,0),MATCH(Q55,Paces!$B$4:$K$4,0))))))</f>
        <v/>
      </c>
      <c r="J55" s="20"/>
      <c r="K55" s="21"/>
      <c r="L55" s="22"/>
      <c r="M55" s="20"/>
      <c r="N55" s="20"/>
      <c r="O55" s="23" t="str">
        <f aca="false">IF(AND(N(K55)&gt;0,N(L55)&gt;0),L55/K55,"")</f>
        <v/>
      </c>
      <c r="P55" s="24"/>
      <c r="Q55" s="17"/>
    </row>
    <row r="56" customFormat="false" ht="23.85" hidden="false" customHeight="false" outlineLevel="0" collapsed="false">
      <c r="A56" s="16" t="n">
        <v>46375</v>
      </c>
      <c r="B56" s="17" t="n">
        <v>8</v>
      </c>
      <c r="C56" s="17" t="s">
        <v>88</v>
      </c>
      <c r="D56" s="17" t="s">
        <v>68</v>
      </c>
      <c r="E56" s="25" t="s">
        <v>110</v>
      </c>
      <c r="F56" s="26" t="s">
        <v>111</v>
      </c>
      <c r="G56" s="19" t="n">
        <v>13.8</v>
      </c>
      <c r="H56" s="17" t="n">
        <f aca="false">IF(C56="Base",'Start here'!$B$7,IF(C56="Build",'Start here'!$B$14,'Start here'!$B$15))</f>
        <v>32</v>
      </c>
      <c r="I56" s="17" t="str">
        <f aca="false">IF(Q56="","",IF(Q56="E","HR under "&amp;ROUND('Start here'!$B$6*0.79,0),IF(Q56="REC","HR under "&amp;ROUND('Start here'!$B$6*0.76,0),IF(Q56="L","HR "&amp;ROUND('Start here'!$B$6*0.73,0)&amp;" to "&amp;ROUND('Start here'!$B$6*0.84,0),INDEX(Paces!$B$5:$K$15,MATCH(H56,Paces!$A$5:$A$15,0),MATCH(Q56,Paces!$B$4:$K$4,0))))))</f>
        <v/>
      </c>
      <c r="J56" s="20"/>
      <c r="K56" s="21"/>
      <c r="L56" s="22"/>
      <c r="M56" s="20"/>
      <c r="N56" s="20"/>
      <c r="O56" s="23" t="str">
        <f aca="false">IF(AND(N(K56)&gt;0,N(L56)&gt;0),L56/K56,"")</f>
        <v/>
      </c>
      <c r="P56" s="24"/>
      <c r="Q56" s="17"/>
    </row>
    <row r="57" customFormat="false" ht="15" hidden="false" customHeight="false" outlineLevel="0" collapsed="false">
      <c r="A57" s="16" t="n">
        <v>46376</v>
      </c>
      <c r="B57" s="17" t="n">
        <v>8</v>
      </c>
      <c r="C57" s="17" t="s">
        <v>88</v>
      </c>
      <c r="D57" s="17" t="s">
        <v>72</v>
      </c>
      <c r="E57" s="17" t="s">
        <v>73</v>
      </c>
      <c r="F57" s="18" t="s">
        <v>112</v>
      </c>
      <c r="G57" s="19" t="n">
        <v>3.6</v>
      </c>
      <c r="H57" s="17" t="n">
        <f aca="false">IF(C57="Base",'Start here'!$B$7,IF(C57="Build",'Start here'!$B$14,'Start here'!$B$15))</f>
        <v>32</v>
      </c>
      <c r="I57" s="17" t="str">
        <f aca="false">IF(Q57="","",IF(Q57="E","HR under "&amp;ROUND('Start here'!$B$6*0.79,0),IF(Q57="REC","HR under "&amp;ROUND('Start here'!$B$6*0.76,0),IF(Q57="L","HR "&amp;ROUND('Start here'!$B$6*0.73,0)&amp;" to "&amp;ROUND('Start here'!$B$6*0.84,0),INDEX(Paces!$B$5:$K$15,MATCH(H57,Paces!$A$5:$A$15,0),MATCH(Q57,Paces!$B$4:$K$4,0))))))</f>
        <v>HR under 147</v>
      </c>
      <c r="J57" s="20"/>
      <c r="K57" s="21"/>
      <c r="L57" s="22"/>
      <c r="M57" s="20"/>
      <c r="N57" s="20"/>
      <c r="O57" s="23" t="str">
        <f aca="false">IF(AND(N(K57)&gt;0,N(L57)&gt;0),L57/K57,"")</f>
        <v/>
      </c>
      <c r="P57" s="24"/>
      <c r="Q57" s="17" t="s">
        <v>75</v>
      </c>
    </row>
    <row r="58" customFormat="false" ht="15" hidden="false" customHeight="false" outlineLevel="0" collapsed="false">
      <c r="A58" s="16" t="n">
        <v>46377</v>
      </c>
      <c r="B58" s="17" t="n">
        <v>9</v>
      </c>
      <c r="C58" s="17" t="s">
        <v>88</v>
      </c>
      <c r="D58" s="17" t="s">
        <v>53</v>
      </c>
      <c r="E58" s="17" t="s">
        <v>54</v>
      </c>
      <c r="F58" s="18" t="s">
        <v>55</v>
      </c>
      <c r="G58" s="19"/>
      <c r="H58" s="17" t="n">
        <f aca="false">IF(C58="Base",'Start here'!$B$7,IF(C58="Build",'Start here'!$B$14,'Start here'!$B$15))</f>
        <v>32</v>
      </c>
      <c r="I58" s="17" t="str">
        <f aca="false">IF(Q58="","",IF(Q58="E","HR under "&amp;ROUND('Start here'!$B$6*0.79,0),IF(Q58="REC","HR under "&amp;ROUND('Start here'!$B$6*0.76,0),IF(Q58="L","HR "&amp;ROUND('Start here'!$B$6*0.73,0)&amp;" to "&amp;ROUND('Start here'!$B$6*0.84,0),INDEX(Paces!$B$5:$K$15,MATCH(H58,Paces!$A$5:$A$15,0),MATCH(Q58,Paces!$B$4:$K$4,0))))))</f>
        <v/>
      </c>
      <c r="J58" s="20"/>
      <c r="K58" s="21"/>
      <c r="L58" s="22"/>
      <c r="M58" s="20"/>
      <c r="N58" s="20"/>
      <c r="O58" s="23" t="str">
        <f aca="false">IF(AND(N(K58)&gt;0,N(L58)&gt;0),L58/K58,"")</f>
        <v/>
      </c>
      <c r="P58" s="24"/>
      <c r="Q58" s="17"/>
    </row>
    <row r="59" customFormat="false" ht="15" hidden="false" customHeight="false" outlineLevel="0" collapsed="false">
      <c r="A59" s="16" t="n">
        <v>46378</v>
      </c>
      <c r="B59" s="17" t="n">
        <v>9</v>
      </c>
      <c r="C59" s="17" t="s">
        <v>88</v>
      </c>
      <c r="D59" s="17" t="s">
        <v>56</v>
      </c>
      <c r="E59" s="17" t="s">
        <v>61</v>
      </c>
      <c r="F59" s="18" t="s">
        <v>113</v>
      </c>
      <c r="G59" s="19" t="n">
        <v>5.2</v>
      </c>
      <c r="H59" s="17" t="n">
        <f aca="false">IF(C59="Base",'Start here'!$B$7,IF(C59="Build",'Start here'!$B$14,'Start here'!$B$15))</f>
        <v>32</v>
      </c>
      <c r="I59" s="17" t="str">
        <f aca="false">IF(Q59="","",IF(Q59="E","HR under "&amp;ROUND('Start here'!$B$6*0.79,0),IF(Q59="REC","HR under "&amp;ROUND('Start here'!$B$6*0.76,0),IF(Q59="L","HR "&amp;ROUND('Start here'!$B$6*0.73,0)&amp;" to "&amp;ROUND('Start here'!$B$6*0.84,0),INDEX(Paces!$B$5:$K$15,MATCH(H59,Paces!$A$5:$A$15,0),MATCH(Q59,Paces!$B$4:$K$4,0))))))</f>
        <v>HR under 153</v>
      </c>
      <c r="J59" s="20"/>
      <c r="K59" s="21"/>
      <c r="L59" s="22"/>
      <c r="M59" s="20"/>
      <c r="N59" s="20"/>
      <c r="O59" s="23" t="str">
        <f aca="false">IF(AND(N(K59)&gt;0,N(L59)&gt;0),L59/K59,"")</f>
        <v/>
      </c>
      <c r="P59" s="24"/>
      <c r="Q59" s="17" t="s">
        <v>63</v>
      </c>
    </row>
    <row r="60" customFormat="false" ht="15" hidden="false" customHeight="false" outlineLevel="0" collapsed="false">
      <c r="A60" s="16" t="n">
        <v>46379</v>
      </c>
      <c r="B60" s="17" t="n">
        <v>9</v>
      </c>
      <c r="C60" s="17" t="s">
        <v>88</v>
      </c>
      <c r="D60" s="17" t="s">
        <v>60</v>
      </c>
      <c r="E60" s="17" t="s">
        <v>65</v>
      </c>
      <c r="F60" s="18" t="s">
        <v>114</v>
      </c>
      <c r="G60" s="19" t="n">
        <v>5</v>
      </c>
      <c r="H60" s="17" t="n">
        <f aca="false">IF(C60="Base",'Start here'!$B$7,IF(C60="Build",'Start here'!$B$14,'Start here'!$B$15))</f>
        <v>32</v>
      </c>
      <c r="I60" s="17" t="str">
        <f aca="false">IF(Q60="","",IF(Q60="E","HR under "&amp;ROUND('Start here'!$B$6*0.79,0),IF(Q60="REC","HR under "&amp;ROUND('Start here'!$B$6*0.76,0),IF(Q60="L","HR "&amp;ROUND('Start here'!$B$6*0.73,0)&amp;" to "&amp;ROUND('Start here'!$B$6*0.84,0),INDEX(Paces!$B$5:$K$15,MATCH(H60,Paces!$A$5:$A$15,0),MATCH(Q60,Paces!$B$4:$K$4,0))))))</f>
        <v>HR under 153</v>
      </c>
      <c r="J60" s="20"/>
      <c r="K60" s="21"/>
      <c r="L60" s="22"/>
      <c r="M60" s="20"/>
      <c r="N60" s="20"/>
      <c r="O60" s="23" t="str">
        <f aca="false">IF(AND(N(K60)&gt;0,N(L60)&gt;0),L60/K60,"")</f>
        <v/>
      </c>
      <c r="P60" s="24"/>
      <c r="Q60" s="17" t="s">
        <v>63</v>
      </c>
    </row>
    <row r="61" customFormat="false" ht="15" hidden="false" customHeight="false" outlineLevel="0" collapsed="false">
      <c r="A61" s="16" t="n">
        <v>46380</v>
      </c>
      <c r="B61" s="17" t="n">
        <v>9</v>
      </c>
      <c r="C61" s="17" t="s">
        <v>88</v>
      </c>
      <c r="D61" s="17" t="s">
        <v>64</v>
      </c>
      <c r="E61" s="17" t="s">
        <v>57</v>
      </c>
      <c r="F61" s="18" t="s">
        <v>96</v>
      </c>
      <c r="G61" s="19" t="n">
        <v>7</v>
      </c>
      <c r="H61" s="17" t="n">
        <f aca="false">IF(C61="Base",'Start here'!$B$7,IF(C61="Build",'Start here'!$B$14,'Start here'!$B$15))</f>
        <v>32</v>
      </c>
      <c r="I61" s="17" t="str">
        <f aca="false">IF(Q61="","",IF(Q61="E","HR under "&amp;ROUND('Start here'!$B$6*0.79,0),IF(Q61="REC","HR under "&amp;ROUND('Start here'!$B$6*0.76,0),IF(Q61="L","HR "&amp;ROUND('Start here'!$B$6*0.73,0)&amp;" to "&amp;ROUND('Start here'!$B$6*0.84,0),INDEX(Paces!$B$5:$K$15,MATCH(H61,Paces!$A$5:$A$15,0),MATCH(Q61,Paces!$B$4:$K$4,0))))))</f>
        <v>6:05/km</v>
      </c>
      <c r="J61" s="20"/>
      <c r="K61" s="21"/>
      <c r="L61" s="22"/>
      <c r="M61" s="20"/>
      <c r="N61" s="20"/>
      <c r="O61" s="23" t="str">
        <f aca="false">IF(AND(N(K61)&gt;0,N(L61)&gt;0),L61/K61,"")</f>
        <v/>
      </c>
      <c r="P61" s="24"/>
      <c r="Q61" s="17" t="s">
        <v>59</v>
      </c>
    </row>
    <row r="62" customFormat="false" ht="15" hidden="false" customHeight="false" outlineLevel="0" collapsed="false">
      <c r="A62" s="16" t="n">
        <v>46381</v>
      </c>
      <c r="B62" s="17" t="n">
        <v>9</v>
      </c>
      <c r="C62" s="17" t="s">
        <v>88</v>
      </c>
      <c r="D62" s="17" t="s">
        <v>67</v>
      </c>
      <c r="E62" s="17" t="s">
        <v>54</v>
      </c>
      <c r="F62" s="18" t="s">
        <v>55</v>
      </c>
      <c r="G62" s="19"/>
      <c r="H62" s="17" t="n">
        <f aca="false">IF(C62="Base",'Start here'!$B$7,IF(C62="Build",'Start here'!$B$14,'Start here'!$B$15))</f>
        <v>32</v>
      </c>
      <c r="I62" s="17" t="str">
        <f aca="false">IF(Q62="","",IF(Q62="E","HR under "&amp;ROUND('Start here'!$B$6*0.79,0),IF(Q62="REC","HR under "&amp;ROUND('Start here'!$B$6*0.76,0),IF(Q62="L","HR "&amp;ROUND('Start here'!$B$6*0.73,0)&amp;" to "&amp;ROUND('Start here'!$B$6*0.84,0),INDEX(Paces!$B$5:$K$15,MATCH(H62,Paces!$A$5:$A$15,0),MATCH(Q62,Paces!$B$4:$K$4,0))))))</f>
        <v/>
      </c>
      <c r="J62" s="20"/>
      <c r="K62" s="21"/>
      <c r="L62" s="22"/>
      <c r="M62" s="20"/>
      <c r="N62" s="20"/>
      <c r="O62" s="23" t="str">
        <f aca="false">IF(AND(N(K62)&gt;0,N(L62)&gt;0),L62/K62,"")</f>
        <v/>
      </c>
      <c r="P62" s="24"/>
      <c r="Q62" s="17"/>
    </row>
    <row r="63" customFormat="false" ht="15" hidden="false" customHeight="false" outlineLevel="0" collapsed="false">
      <c r="A63" s="16" t="n">
        <v>46382</v>
      </c>
      <c r="B63" s="17" t="n">
        <v>9</v>
      </c>
      <c r="C63" s="17" t="s">
        <v>88</v>
      </c>
      <c r="D63" s="17" t="s">
        <v>68</v>
      </c>
      <c r="E63" s="17" t="s">
        <v>101</v>
      </c>
      <c r="F63" s="18" t="s">
        <v>115</v>
      </c>
      <c r="G63" s="19" t="n">
        <v>14</v>
      </c>
      <c r="H63" s="17" t="n">
        <f aca="false">IF(C63="Base",'Start here'!$B$7,IF(C63="Build",'Start here'!$B$14,'Start here'!$B$15))</f>
        <v>32</v>
      </c>
      <c r="I63" s="17" t="str">
        <f aca="false">IF(Q63="","",IF(Q63="E","HR under "&amp;ROUND('Start here'!$B$6*0.79,0),IF(Q63="REC","HR under "&amp;ROUND('Start here'!$B$6*0.76,0),IF(Q63="L","HR "&amp;ROUND('Start here'!$B$6*0.73,0)&amp;" to "&amp;ROUND('Start here'!$B$6*0.84,0),INDEX(Paces!$B$5:$K$15,MATCH(H63,Paces!$A$5:$A$15,0),MATCH(Q63,Paces!$B$4:$K$4,0))))))</f>
        <v>6:40/km</v>
      </c>
      <c r="J63" s="20"/>
      <c r="K63" s="21"/>
      <c r="L63" s="22"/>
      <c r="M63" s="20"/>
      <c r="N63" s="20"/>
      <c r="O63" s="23" t="str">
        <f aca="false">IF(AND(N(K63)&gt;0,N(L63)&gt;0),L63/K63,"")</f>
        <v/>
      </c>
      <c r="P63" s="24"/>
      <c r="Q63" s="17" t="s">
        <v>103</v>
      </c>
    </row>
    <row r="64" customFormat="false" ht="15" hidden="false" customHeight="false" outlineLevel="0" collapsed="false">
      <c r="A64" s="16" t="n">
        <v>46383</v>
      </c>
      <c r="B64" s="17" t="n">
        <v>9</v>
      </c>
      <c r="C64" s="17" t="s">
        <v>88</v>
      </c>
      <c r="D64" s="17" t="s">
        <v>72</v>
      </c>
      <c r="E64" s="17" t="s">
        <v>94</v>
      </c>
      <c r="F64" s="18" t="s">
        <v>95</v>
      </c>
      <c r="G64" s="19" t="n">
        <v>4.6</v>
      </c>
      <c r="H64" s="17" t="n">
        <f aca="false">IF(C64="Base",'Start here'!$B$7,IF(C64="Build",'Start here'!$B$14,'Start here'!$B$15))</f>
        <v>32</v>
      </c>
      <c r="I64" s="17" t="str">
        <f aca="false">IF(Q64="","",IF(Q64="E","HR under "&amp;ROUND('Start here'!$B$6*0.79,0),IF(Q64="REC","HR under "&amp;ROUND('Start here'!$B$6*0.76,0),IF(Q64="L","HR "&amp;ROUND('Start here'!$B$6*0.73,0)&amp;" to "&amp;ROUND('Start here'!$B$6*0.84,0),INDEX(Paces!$B$5:$K$15,MATCH(H64,Paces!$A$5:$A$15,0),MATCH(Q64,Paces!$B$4:$K$4,0))))))</f>
        <v>HR under 147</v>
      </c>
      <c r="J64" s="20"/>
      <c r="K64" s="21"/>
      <c r="L64" s="22"/>
      <c r="M64" s="20"/>
      <c r="N64" s="20"/>
      <c r="O64" s="23" t="str">
        <f aca="false">IF(AND(N(K64)&gt;0,N(L64)&gt;0),L64/K64,"")</f>
        <v/>
      </c>
      <c r="P64" s="24"/>
      <c r="Q64" s="17" t="s">
        <v>75</v>
      </c>
    </row>
    <row r="65" customFormat="false" ht="15" hidden="false" customHeight="false" outlineLevel="0" collapsed="false">
      <c r="A65" s="16" t="n">
        <v>46384</v>
      </c>
      <c r="B65" s="17" t="n">
        <v>10</v>
      </c>
      <c r="C65" s="17" t="s">
        <v>116</v>
      </c>
      <c r="D65" s="17" t="s">
        <v>53</v>
      </c>
      <c r="E65" s="17" t="s">
        <v>54</v>
      </c>
      <c r="F65" s="18" t="s">
        <v>55</v>
      </c>
      <c r="G65" s="19"/>
      <c r="H65" s="17" t="n">
        <f aca="false">IF(C65="Base",'Start here'!$B$7,IF(C65="Build",'Start here'!$B$14,'Start here'!$B$15))</f>
        <v>32</v>
      </c>
      <c r="I65" s="17" t="str">
        <f aca="false">IF(Q65="","",IF(Q65="E","HR under "&amp;ROUND('Start here'!$B$6*0.79,0),IF(Q65="REC","HR under "&amp;ROUND('Start here'!$B$6*0.76,0),IF(Q65="L","HR "&amp;ROUND('Start here'!$B$6*0.73,0)&amp;" to "&amp;ROUND('Start here'!$B$6*0.84,0),INDEX(Paces!$B$5:$K$15,MATCH(H65,Paces!$A$5:$A$15,0),MATCH(Q65,Paces!$B$4:$K$4,0))))))</f>
        <v/>
      </c>
      <c r="J65" s="20"/>
      <c r="K65" s="21"/>
      <c r="L65" s="22"/>
      <c r="M65" s="20"/>
      <c r="N65" s="20"/>
      <c r="O65" s="23" t="str">
        <f aca="false">IF(AND(N(K65)&gt;0,N(L65)&gt;0),L65/K65,"")</f>
        <v/>
      </c>
      <c r="P65" s="24"/>
      <c r="Q65" s="17"/>
    </row>
    <row r="66" customFormat="false" ht="15" hidden="false" customHeight="false" outlineLevel="0" collapsed="false">
      <c r="A66" s="16" t="n">
        <v>46385</v>
      </c>
      <c r="B66" s="17" t="n">
        <v>10</v>
      </c>
      <c r="C66" s="17" t="s">
        <v>116</v>
      </c>
      <c r="D66" s="17" t="s">
        <v>56</v>
      </c>
      <c r="E66" s="17" t="s">
        <v>57</v>
      </c>
      <c r="F66" s="18" t="s">
        <v>104</v>
      </c>
      <c r="G66" s="19" t="n">
        <v>7.7</v>
      </c>
      <c r="H66" s="17" t="n">
        <f aca="false">IF(C66="Base",'Start here'!$B$7,IF(C66="Build",'Start here'!$B$14,'Start here'!$B$15))</f>
        <v>32</v>
      </c>
      <c r="I66" s="17" t="str">
        <f aca="false">IF(Q66="","",IF(Q66="E","HR under "&amp;ROUND('Start here'!$B$6*0.79,0),IF(Q66="REC","HR under "&amp;ROUND('Start here'!$B$6*0.76,0),IF(Q66="L","HR "&amp;ROUND('Start here'!$B$6*0.73,0)&amp;" to "&amp;ROUND('Start here'!$B$6*0.84,0),INDEX(Paces!$B$5:$K$15,MATCH(H66,Paces!$A$5:$A$15,0),MATCH(Q66,Paces!$B$4:$K$4,0))))))</f>
        <v>6:05/km</v>
      </c>
      <c r="J66" s="20"/>
      <c r="K66" s="21"/>
      <c r="L66" s="22"/>
      <c r="M66" s="20"/>
      <c r="N66" s="20"/>
      <c r="O66" s="23" t="str">
        <f aca="false">IF(AND(N(K66)&gt;0,N(L66)&gt;0),L66/K66,"")</f>
        <v/>
      </c>
      <c r="P66" s="24"/>
      <c r="Q66" s="17" t="s">
        <v>59</v>
      </c>
    </row>
    <row r="67" customFormat="false" ht="15" hidden="false" customHeight="false" outlineLevel="0" collapsed="false">
      <c r="A67" s="16" t="n">
        <v>46386</v>
      </c>
      <c r="B67" s="17" t="n">
        <v>10</v>
      </c>
      <c r="C67" s="17" t="s">
        <v>116</v>
      </c>
      <c r="D67" s="17" t="s">
        <v>60</v>
      </c>
      <c r="E67" s="17" t="s">
        <v>65</v>
      </c>
      <c r="F67" s="18" t="s">
        <v>114</v>
      </c>
      <c r="G67" s="19" t="n">
        <v>5</v>
      </c>
      <c r="H67" s="17" t="n">
        <f aca="false">IF(C67="Base",'Start here'!$B$7,IF(C67="Build",'Start here'!$B$14,'Start here'!$B$15))</f>
        <v>32</v>
      </c>
      <c r="I67" s="17" t="str">
        <f aca="false">IF(Q67="","",IF(Q67="E","HR under "&amp;ROUND('Start here'!$B$6*0.79,0),IF(Q67="REC","HR under "&amp;ROUND('Start here'!$B$6*0.76,0),IF(Q67="L","HR "&amp;ROUND('Start here'!$B$6*0.73,0)&amp;" to "&amp;ROUND('Start here'!$B$6*0.84,0),INDEX(Paces!$B$5:$K$15,MATCH(H67,Paces!$A$5:$A$15,0),MATCH(Q67,Paces!$B$4:$K$4,0))))))</f>
        <v>HR under 153</v>
      </c>
      <c r="J67" s="20"/>
      <c r="K67" s="21"/>
      <c r="L67" s="22"/>
      <c r="M67" s="20"/>
      <c r="N67" s="20"/>
      <c r="O67" s="23" t="str">
        <f aca="false">IF(AND(N(K67)&gt;0,N(L67)&gt;0),L67/K67,"")</f>
        <v/>
      </c>
      <c r="P67" s="24"/>
      <c r="Q67" s="17" t="s">
        <v>63</v>
      </c>
    </row>
    <row r="68" customFormat="false" ht="15" hidden="false" customHeight="false" outlineLevel="0" collapsed="false">
      <c r="A68" s="16" t="n">
        <v>46387</v>
      </c>
      <c r="B68" s="17" t="n">
        <v>10</v>
      </c>
      <c r="C68" s="17" t="s">
        <v>116</v>
      </c>
      <c r="D68" s="17" t="s">
        <v>64</v>
      </c>
      <c r="E68" s="17" t="s">
        <v>117</v>
      </c>
      <c r="F68" s="18" t="s">
        <v>118</v>
      </c>
      <c r="G68" s="19" t="n">
        <v>8.8</v>
      </c>
      <c r="H68" s="17" t="n">
        <f aca="false">IF(C68="Base",'Start here'!$B$7,IF(C68="Build",'Start here'!$B$14,'Start here'!$B$15))</f>
        <v>32</v>
      </c>
      <c r="I68" s="17" t="str">
        <f aca="false">IF(Q68="","",IF(Q68="E","HR under "&amp;ROUND('Start here'!$B$6*0.79,0),IF(Q68="REC","HR under "&amp;ROUND('Start here'!$B$6*0.76,0),IF(Q68="L","HR "&amp;ROUND('Start here'!$B$6*0.73,0)&amp;" to "&amp;ROUND('Start here'!$B$6*0.84,0),INDEX(Paces!$B$5:$K$15,MATCH(H68,Paces!$A$5:$A$15,0),MATCH(Q68,Paces!$B$4:$K$4,0))))))</f>
        <v>6:21/km</v>
      </c>
      <c r="J68" s="20"/>
      <c r="K68" s="21"/>
      <c r="L68" s="22"/>
      <c r="M68" s="20"/>
      <c r="N68" s="20"/>
      <c r="O68" s="23" t="str">
        <f aca="false">IF(AND(N(K68)&gt;0,N(L68)&gt;0),L68/K68,"")</f>
        <v/>
      </c>
      <c r="P68" s="24"/>
      <c r="Q68" s="17" t="s">
        <v>117</v>
      </c>
    </row>
    <row r="69" customFormat="false" ht="15" hidden="false" customHeight="false" outlineLevel="0" collapsed="false">
      <c r="A69" s="16" t="n">
        <v>46388</v>
      </c>
      <c r="B69" s="17" t="n">
        <v>10</v>
      </c>
      <c r="C69" s="17" t="s">
        <v>116</v>
      </c>
      <c r="D69" s="17" t="s">
        <v>67</v>
      </c>
      <c r="E69" s="17" t="s">
        <v>54</v>
      </c>
      <c r="F69" s="18" t="s">
        <v>55</v>
      </c>
      <c r="G69" s="19"/>
      <c r="H69" s="17" t="n">
        <f aca="false">IF(C69="Base",'Start here'!$B$7,IF(C69="Build",'Start here'!$B$14,'Start here'!$B$15))</f>
        <v>32</v>
      </c>
      <c r="I69" s="17" t="str">
        <f aca="false">IF(Q69="","",IF(Q69="E","HR under "&amp;ROUND('Start here'!$B$6*0.79,0),IF(Q69="REC","HR under "&amp;ROUND('Start here'!$B$6*0.76,0),IF(Q69="L","HR "&amp;ROUND('Start here'!$B$6*0.73,0)&amp;" to "&amp;ROUND('Start here'!$B$6*0.84,0),INDEX(Paces!$B$5:$K$15,MATCH(H69,Paces!$A$5:$A$15,0),MATCH(Q69,Paces!$B$4:$K$4,0))))))</f>
        <v/>
      </c>
      <c r="J69" s="20"/>
      <c r="K69" s="21"/>
      <c r="L69" s="22"/>
      <c r="M69" s="20"/>
      <c r="N69" s="20"/>
      <c r="O69" s="23" t="str">
        <f aca="false">IF(AND(N(K69)&gt;0,N(L69)&gt;0),L69/K69,"")</f>
        <v/>
      </c>
      <c r="P69" s="24"/>
      <c r="Q69" s="17"/>
    </row>
    <row r="70" customFormat="false" ht="15" hidden="false" customHeight="false" outlineLevel="0" collapsed="false">
      <c r="A70" s="16" t="n">
        <v>46389</v>
      </c>
      <c r="B70" s="17" t="n">
        <v>10</v>
      </c>
      <c r="C70" s="17" t="s">
        <v>116</v>
      </c>
      <c r="D70" s="17" t="s">
        <v>68</v>
      </c>
      <c r="E70" s="17" t="s">
        <v>69</v>
      </c>
      <c r="F70" s="18" t="s">
        <v>119</v>
      </c>
      <c r="G70" s="19" t="n">
        <v>14</v>
      </c>
      <c r="H70" s="17" t="n">
        <f aca="false">IF(C70="Base",'Start here'!$B$7,IF(C70="Build",'Start here'!$B$14,'Start here'!$B$15))</f>
        <v>32</v>
      </c>
      <c r="I70" s="17" t="str">
        <f aca="false">IF(Q70="","",IF(Q70="E","HR under "&amp;ROUND('Start here'!$B$6*0.79,0),IF(Q70="REC","HR under "&amp;ROUND('Start here'!$B$6*0.76,0),IF(Q70="L","HR "&amp;ROUND('Start here'!$B$6*0.73,0)&amp;" to "&amp;ROUND('Start here'!$B$6*0.84,0),INDEX(Paces!$B$5:$K$15,MATCH(H70,Paces!$A$5:$A$15,0),MATCH(Q70,Paces!$B$4:$K$4,0))))))</f>
        <v>HR 142 to 163</v>
      </c>
      <c r="J70" s="20"/>
      <c r="K70" s="21"/>
      <c r="L70" s="22"/>
      <c r="M70" s="20"/>
      <c r="N70" s="20"/>
      <c r="O70" s="23" t="str">
        <f aca="false">IF(AND(N(K70)&gt;0,N(L70)&gt;0),L70/K70,"")</f>
        <v/>
      </c>
      <c r="P70" s="24"/>
      <c r="Q70" s="17" t="s">
        <v>71</v>
      </c>
    </row>
    <row r="71" customFormat="false" ht="15" hidden="false" customHeight="false" outlineLevel="0" collapsed="false">
      <c r="A71" s="16" t="n">
        <v>46390</v>
      </c>
      <c r="B71" s="17" t="n">
        <v>10</v>
      </c>
      <c r="C71" s="17" t="s">
        <v>116</v>
      </c>
      <c r="D71" s="17" t="s">
        <v>72</v>
      </c>
      <c r="E71" s="17" t="s">
        <v>94</v>
      </c>
      <c r="F71" s="18" t="s">
        <v>95</v>
      </c>
      <c r="G71" s="19" t="n">
        <v>4.6</v>
      </c>
      <c r="H71" s="17" t="n">
        <f aca="false">IF(C71="Base",'Start here'!$B$7,IF(C71="Build",'Start here'!$B$14,'Start here'!$B$15))</f>
        <v>32</v>
      </c>
      <c r="I71" s="17" t="str">
        <f aca="false">IF(Q71="","",IF(Q71="E","HR under "&amp;ROUND('Start here'!$B$6*0.79,0),IF(Q71="REC","HR under "&amp;ROUND('Start here'!$B$6*0.76,0),IF(Q71="L","HR "&amp;ROUND('Start here'!$B$6*0.73,0)&amp;" to "&amp;ROUND('Start here'!$B$6*0.84,0),INDEX(Paces!$B$5:$K$15,MATCH(H71,Paces!$A$5:$A$15,0),MATCH(Q71,Paces!$B$4:$K$4,0))))))</f>
        <v>HR under 147</v>
      </c>
      <c r="J71" s="20"/>
      <c r="K71" s="21"/>
      <c r="L71" s="22"/>
      <c r="M71" s="20"/>
      <c r="N71" s="20"/>
      <c r="O71" s="23" t="str">
        <f aca="false">IF(AND(N(K71)&gt;0,N(L71)&gt;0),L71/K71,"")</f>
        <v/>
      </c>
      <c r="P71" s="24"/>
      <c r="Q71" s="17" t="s">
        <v>75</v>
      </c>
    </row>
    <row r="72" customFormat="false" ht="15" hidden="false" customHeight="false" outlineLevel="0" collapsed="false">
      <c r="A72" s="16" t="n">
        <v>46391</v>
      </c>
      <c r="B72" s="17" t="n">
        <v>11</v>
      </c>
      <c r="C72" s="17" t="s">
        <v>116</v>
      </c>
      <c r="D72" s="17" t="s">
        <v>53</v>
      </c>
      <c r="E72" s="17" t="s">
        <v>54</v>
      </c>
      <c r="F72" s="18" t="s">
        <v>55</v>
      </c>
      <c r="G72" s="19"/>
      <c r="H72" s="17" t="n">
        <f aca="false">IF(C72="Base",'Start here'!$B$7,IF(C72="Build",'Start here'!$B$14,'Start here'!$B$15))</f>
        <v>32</v>
      </c>
      <c r="I72" s="17" t="str">
        <f aca="false">IF(Q72="","",IF(Q72="E","HR under "&amp;ROUND('Start here'!$B$6*0.79,0),IF(Q72="REC","HR under "&amp;ROUND('Start here'!$B$6*0.76,0),IF(Q72="L","HR "&amp;ROUND('Start here'!$B$6*0.73,0)&amp;" to "&amp;ROUND('Start here'!$B$6*0.84,0),INDEX(Paces!$B$5:$K$15,MATCH(H72,Paces!$A$5:$A$15,0),MATCH(Q72,Paces!$B$4:$K$4,0))))))</f>
        <v/>
      </c>
      <c r="J72" s="20"/>
      <c r="K72" s="21"/>
      <c r="L72" s="22"/>
      <c r="M72" s="20"/>
      <c r="N72" s="20"/>
      <c r="O72" s="23" t="str">
        <f aca="false">IF(AND(N(K72)&gt;0,N(L72)&gt;0),L72/K72,"")</f>
        <v/>
      </c>
      <c r="P72" s="24"/>
      <c r="Q72" s="17"/>
    </row>
    <row r="73" customFormat="false" ht="15" hidden="false" customHeight="false" outlineLevel="0" collapsed="false">
      <c r="A73" s="16" t="n">
        <v>46392</v>
      </c>
      <c r="B73" s="17" t="n">
        <v>11</v>
      </c>
      <c r="C73" s="17" t="s">
        <v>116</v>
      </c>
      <c r="D73" s="17" t="s">
        <v>56</v>
      </c>
      <c r="E73" s="17" t="s">
        <v>57</v>
      </c>
      <c r="F73" s="18" t="s">
        <v>120</v>
      </c>
      <c r="G73" s="19" t="n">
        <v>7.7</v>
      </c>
      <c r="H73" s="17" t="n">
        <f aca="false">IF(C73="Base",'Start here'!$B$7,IF(C73="Build",'Start here'!$B$14,'Start here'!$B$15))</f>
        <v>32</v>
      </c>
      <c r="I73" s="17" t="str">
        <f aca="false">IF(Q73="","",IF(Q73="E","HR under "&amp;ROUND('Start here'!$B$6*0.79,0),IF(Q73="REC","HR under "&amp;ROUND('Start here'!$B$6*0.76,0),IF(Q73="L","HR "&amp;ROUND('Start here'!$B$6*0.73,0)&amp;" to "&amp;ROUND('Start here'!$B$6*0.84,0),INDEX(Paces!$B$5:$K$15,MATCH(H73,Paces!$A$5:$A$15,0),MATCH(Q73,Paces!$B$4:$K$4,0))))))</f>
        <v>6:05/km</v>
      </c>
      <c r="J73" s="20"/>
      <c r="K73" s="21"/>
      <c r="L73" s="22"/>
      <c r="M73" s="20"/>
      <c r="N73" s="20"/>
      <c r="O73" s="23" t="str">
        <f aca="false">IF(AND(N(K73)&gt;0,N(L73)&gt;0),L73/K73,"")</f>
        <v/>
      </c>
      <c r="P73" s="24"/>
      <c r="Q73" s="17" t="s">
        <v>59</v>
      </c>
    </row>
    <row r="74" customFormat="false" ht="15" hidden="false" customHeight="false" outlineLevel="0" collapsed="false">
      <c r="A74" s="16" t="n">
        <v>46393</v>
      </c>
      <c r="B74" s="17" t="n">
        <v>11</v>
      </c>
      <c r="C74" s="17" t="s">
        <v>116</v>
      </c>
      <c r="D74" s="17" t="s">
        <v>60</v>
      </c>
      <c r="E74" s="17" t="s">
        <v>65</v>
      </c>
      <c r="F74" s="18" t="s">
        <v>114</v>
      </c>
      <c r="G74" s="19" t="n">
        <v>5</v>
      </c>
      <c r="H74" s="17" t="n">
        <f aca="false">IF(C74="Base",'Start here'!$B$7,IF(C74="Build",'Start here'!$B$14,'Start here'!$B$15))</f>
        <v>32</v>
      </c>
      <c r="I74" s="17" t="str">
        <f aca="false">IF(Q74="","",IF(Q74="E","HR under "&amp;ROUND('Start here'!$B$6*0.79,0),IF(Q74="REC","HR under "&amp;ROUND('Start here'!$B$6*0.76,0),IF(Q74="L","HR "&amp;ROUND('Start here'!$B$6*0.73,0)&amp;" to "&amp;ROUND('Start here'!$B$6*0.84,0),INDEX(Paces!$B$5:$K$15,MATCH(H74,Paces!$A$5:$A$15,0),MATCH(Q74,Paces!$B$4:$K$4,0))))))</f>
        <v>HR under 153</v>
      </c>
      <c r="J74" s="20"/>
      <c r="K74" s="21"/>
      <c r="L74" s="22"/>
      <c r="M74" s="20"/>
      <c r="N74" s="20"/>
      <c r="O74" s="23" t="str">
        <f aca="false">IF(AND(N(K74)&gt;0,N(L74)&gt;0),L74/K74,"")</f>
        <v/>
      </c>
      <c r="P74" s="24"/>
      <c r="Q74" s="17" t="s">
        <v>63</v>
      </c>
    </row>
    <row r="75" customFormat="false" ht="15" hidden="false" customHeight="false" outlineLevel="0" collapsed="false">
      <c r="A75" s="16" t="n">
        <v>46394</v>
      </c>
      <c r="B75" s="17" t="n">
        <v>11</v>
      </c>
      <c r="C75" s="17" t="s">
        <v>116</v>
      </c>
      <c r="D75" s="17" t="s">
        <v>64</v>
      </c>
      <c r="E75" s="17" t="s">
        <v>98</v>
      </c>
      <c r="F75" s="18" t="s">
        <v>99</v>
      </c>
      <c r="G75" s="19" t="n">
        <v>7.5</v>
      </c>
      <c r="H75" s="17" t="n">
        <f aca="false">IF(C75="Base",'Start here'!$B$7,IF(C75="Build",'Start here'!$B$14,'Start here'!$B$15))</f>
        <v>32</v>
      </c>
      <c r="I75" s="17" t="str">
        <f aca="false">IF(Q75="","",IF(Q75="E","HR under "&amp;ROUND('Start here'!$B$6*0.79,0),IF(Q75="REC","HR under "&amp;ROUND('Start here'!$B$6*0.76,0),IF(Q75="L","HR "&amp;ROUND('Start here'!$B$6*0.73,0)&amp;" to "&amp;ROUND('Start here'!$B$6*0.84,0),INDEX(Paces!$B$5:$K$15,MATCH(H75,Paces!$A$5:$A$15,0),MATCH(Q75,Paces!$B$4:$K$4,0))))))</f>
        <v>5:35/km (2:14 per 400 m)</v>
      </c>
      <c r="J75" s="20"/>
      <c r="K75" s="21"/>
      <c r="L75" s="22"/>
      <c r="M75" s="20"/>
      <c r="N75" s="20"/>
      <c r="O75" s="23" t="str">
        <f aca="false">IF(AND(N(K75)&gt;0,N(L75)&gt;0),L75/K75,"")</f>
        <v/>
      </c>
      <c r="P75" s="24"/>
      <c r="Q75" s="17" t="s">
        <v>100</v>
      </c>
    </row>
    <row r="76" customFormat="false" ht="15" hidden="false" customHeight="false" outlineLevel="0" collapsed="false">
      <c r="A76" s="16" t="n">
        <v>46395</v>
      </c>
      <c r="B76" s="17" t="n">
        <v>11</v>
      </c>
      <c r="C76" s="17" t="s">
        <v>116</v>
      </c>
      <c r="D76" s="17" t="s">
        <v>67</v>
      </c>
      <c r="E76" s="17" t="s">
        <v>54</v>
      </c>
      <c r="F76" s="18" t="s">
        <v>55</v>
      </c>
      <c r="G76" s="19"/>
      <c r="H76" s="17" t="n">
        <f aca="false">IF(C76="Base",'Start here'!$B$7,IF(C76="Build",'Start here'!$B$14,'Start here'!$B$15))</f>
        <v>32</v>
      </c>
      <c r="I76" s="17" t="str">
        <f aca="false">IF(Q76="","",IF(Q76="E","HR under "&amp;ROUND('Start here'!$B$6*0.79,0),IF(Q76="REC","HR under "&amp;ROUND('Start here'!$B$6*0.76,0),IF(Q76="L","HR "&amp;ROUND('Start here'!$B$6*0.73,0)&amp;" to "&amp;ROUND('Start here'!$B$6*0.84,0),INDEX(Paces!$B$5:$K$15,MATCH(H76,Paces!$A$5:$A$15,0),MATCH(Q76,Paces!$B$4:$K$4,0))))))</f>
        <v/>
      </c>
      <c r="J76" s="20"/>
      <c r="K76" s="21"/>
      <c r="L76" s="22"/>
      <c r="M76" s="20"/>
      <c r="N76" s="20"/>
      <c r="O76" s="23" t="str">
        <f aca="false">IF(AND(N(K76)&gt;0,N(L76)&gt;0),L76/K76,"")</f>
        <v/>
      </c>
      <c r="P76" s="24"/>
      <c r="Q76" s="17"/>
    </row>
    <row r="77" customFormat="false" ht="15" hidden="false" customHeight="false" outlineLevel="0" collapsed="false">
      <c r="A77" s="16" t="n">
        <v>46396</v>
      </c>
      <c r="B77" s="17" t="n">
        <v>11</v>
      </c>
      <c r="C77" s="17" t="s">
        <v>116</v>
      </c>
      <c r="D77" s="17" t="s">
        <v>68</v>
      </c>
      <c r="E77" s="17" t="s">
        <v>121</v>
      </c>
      <c r="F77" s="18" t="s">
        <v>122</v>
      </c>
      <c r="G77" s="19" t="n">
        <v>15</v>
      </c>
      <c r="H77" s="17" t="n">
        <f aca="false">IF(C77="Base",'Start here'!$B$7,IF(C77="Build",'Start here'!$B$14,'Start here'!$B$15))</f>
        <v>32</v>
      </c>
      <c r="I77" s="17" t="str">
        <f aca="false">IF(Q77="","",IF(Q77="E","HR under "&amp;ROUND('Start here'!$B$6*0.79,0),IF(Q77="REC","HR under "&amp;ROUND('Start here'!$B$6*0.76,0),IF(Q77="L","HR "&amp;ROUND('Start here'!$B$6*0.73,0)&amp;" to "&amp;ROUND('Start here'!$B$6*0.84,0),INDEX(Paces!$B$5:$K$15,MATCH(H77,Paces!$A$5:$A$15,0),MATCH(Q77,Paces!$B$4:$K$4,0))))))</f>
        <v>6:21/km</v>
      </c>
      <c r="J77" s="20"/>
      <c r="K77" s="21"/>
      <c r="L77" s="22"/>
      <c r="M77" s="20"/>
      <c r="N77" s="20"/>
      <c r="O77" s="23" t="str">
        <f aca="false">IF(AND(N(K77)&gt;0,N(L77)&gt;0),L77/K77,"")</f>
        <v/>
      </c>
      <c r="P77" s="24"/>
      <c r="Q77" s="17" t="s">
        <v>117</v>
      </c>
    </row>
    <row r="78" customFormat="false" ht="15" hidden="false" customHeight="false" outlineLevel="0" collapsed="false">
      <c r="A78" s="16" t="n">
        <v>46397</v>
      </c>
      <c r="B78" s="17" t="n">
        <v>11</v>
      </c>
      <c r="C78" s="17" t="s">
        <v>116</v>
      </c>
      <c r="D78" s="17" t="s">
        <v>72</v>
      </c>
      <c r="E78" s="17" t="s">
        <v>94</v>
      </c>
      <c r="F78" s="18" t="s">
        <v>95</v>
      </c>
      <c r="G78" s="19" t="n">
        <v>4.6</v>
      </c>
      <c r="H78" s="17" t="n">
        <f aca="false">IF(C78="Base",'Start here'!$B$7,IF(C78="Build",'Start here'!$B$14,'Start here'!$B$15))</f>
        <v>32</v>
      </c>
      <c r="I78" s="17" t="str">
        <f aca="false">IF(Q78="","",IF(Q78="E","HR under "&amp;ROUND('Start here'!$B$6*0.79,0),IF(Q78="REC","HR under "&amp;ROUND('Start here'!$B$6*0.76,0),IF(Q78="L","HR "&amp;ROUND('Start here'!$B$6*0.73,0)&amp;" to "&amp;ROUND('Start here'!$B$6*0.84,0),INDEX(Paces!$B$5:$K$15,MATCH(H78,Paces!$A$5:$A$15,0),MATCH(Q78,Paces!$B$4:$K$4,0))))))</f>
        <v>HR under 147</v>
      </c>
      <c r="J78" s="20"/>
      <c r="K78" s="21"/>
      <c r="L78" s="22"/>
      <c r="M78" s="20"/>
      <c r="N78" s="20"/>
      <c r="O78" s="23" t="str">
        <f aca="false">IF(AND(N(K78)&gt;0,N(L78)&gt;0),L78/K78,"")</f>
        <v/>
      </c>
      <c r="P78" s="24"/>
      <c r="Q78" s="17" t="s">
        <v>75</v>
      </c>
    </row>
    <row r="79" customFormat="false" ht="15" hidden="false" customHeight="false" outlineLevel="0" collapsed="false">
      <c r="A79" s="16" t="n">
        <v>46398</v>
      </c>
      <c r="B79" s="17" t="n">
        <v>12</v>
      </c>
      <c r="C79" s="17" t="s">
        <v>116</v>
      </c>
      <c r="D79" s="17" t="s">
        <v>53</v>
      </c>
      <c r="E79" s="17" t="s">
        <v>54</v>
      </c>
      <c r="F79" s="18" t="s">
        <v>55</v>
      </c>
      <c r="G79" s="19"/>
      <c r="H79" s="17" t="n">
        <f aca="false">IF(C79="Base",'Start here'!$B$7,IF(C79="Build",'Start here'!$B$14,'Start here'!$B$15))</f>
        <v>32</v>
      </c>
      <c r="I79" s="17" t="str">
        <f aca="false">IF(Q79="","",IF(Q79="E","HR under "&amp;ROUND('Start here'!$B$6*0.79,0),IF(Q79="REC","HR under "&amp;ROUND('Start here'!$B$6*0.76,0),IF(Q79="L","HR "&amp;ROUND('Start here'!$B$6*0.73,0)&amp;" to "&amp;ROUND('Start here'!$B$6*0.84,0),INDEX(Paces!$B$5:$K$15,MATCH(H79,Paces!$A$5:$A$15,0),MATCH(Q79,Paces!$B$4:$K$4,0))))))</f>
        <v/>
      </c>
      <c r="J79" s="20"/>
      <c r="K79" s="21"/>
      <c r="L79" s="22"/>
      <c r="M79" s="20"/>
      <c r="N79" s="20"/>
      <c r="O79" s="23" t="str">
        <f aca="false">IF(AND(N(K79)&gt;0,N(L79)&gt;0),L79/K79,"")</f>
        <v/>
      </c>
      <c r="P79" s="24"/>
      <c r="Q79" s="17"/>
    </row>
    <row r="80" customFormat="false" ht="15" hidden="false" customHeight="false" outlineLevel="0" collapsed="false">
      <c r="A80" s="16" t="n">
        <v>46399</v>
      </c>
      <c r="B80" s="17" t="n">
        <v>12</v>
      </c>
      <c r="C80" s="17" t="s">
        <v>116</v>
      </c>
      <c r="D80" s="17" t="s">
        <v>56</v>
      </c>
      <c r="E80" s="17" t="s">
        <v>57</v>
      </c>
      <c r="F80" s="18" t="s">
        <v>104</v>
      </c>
      <c r="G80" s="19" t="n">
        <v>7.7</v>
      </c>
      <c r="H80" s="17" t="n">
        <f aca="false">IF(C80="Base",'Start here'!$B$7,IF(C80="Build",'Start here'!$B$14,'Start here'!$B$15))</f>
        <v>32</v>
      </c>
      <c r="I80" s="17" t="str">
        <f aca="false">IF(Q80="","",IF(Q80="E","HR under "&amp;ROUND('Start here'!$B$6*0.79,0),IF(Q80="REC","HR under "&amp;ROUND('Start here'!$B$6*0.76,0),IF(Q80="L","HR "&amp;ROUND('Start here'!$B$6*0.73,0)&amp;" to "&amp;ROUND('Start here'!$B$6*0.84,0),INDEX(Paces!$B$5:$K$15,MATCH(H80,Paces!$A$5:$A$15,0),MATCH(Q80,Paces!$B$4:$K$4,0))))))</f>
        <v>6:05/km</v>
      </c>
      <c r="J80" s="20"/>
      <c r="K80" s="21"/>
      <c r="L80" s="22"/>
      <c r="M80" s="20"/>
      <c r="N80" s="20"/>
      <c r="O80" s="23" t="str">
        <f aca="false">IF(AND(N(K80)&gt;0,N(L80)&gt;0),L80/K80,"")</f>
        <v/>
      </c>
      <c r="P80" s="24"/>
      <c r="Q80" s="17" t="s">
        <v>59</v>
      </c>
    </row>
    <row r="81" customFormat="false" ht="15" hidden="false" customHeight="false" outlineLevel="0" collapsed="false">
      <c r="A81" s="16" t="n">
        <v>46400</v>
      </c>
      <c r="B81" s="17" t="n">
        <v>12</v>
      </c>
      <c r="C81" s="17" t="s">
        <v>116</v>
      </c>
      <c r="D81" s="17" t="s">
        <v>60</v>
      </c>
      <c r="E81" s="17" t="s">
        <v>65</v>
      </c>
      <c r="F81" s="18" t="s">
        <v>123</v>
      </c>
      <c r="G81" s="19" t="n">
        <v>4.5</v>
      </c>
      <c r="H81" s="17" t="n">
        <f aca="false">IF(C81="Base",'Start here'!$B$7,IF(C81="Build",'Start here'!$B$14,'Start here'!$B$15))</f>
        <v>32</v>
      </c>
      <c r="I81" s="17" t="str">
        <f aca="false">IF(Q81="","",IF(Q81="E","HR under "&amp;ROUND('Start here'!$B$6*0.79,0),IF(Q81="REC","HR under "&amp;ROUND('Start here'!$B$6*0.76,0),IF(Q81="L","HR "&amp;ROUND('Start here'!$B$6*0.73,0)&amp;" to "&amp;ROUND('Start here'!$B$6*0.84,0),INDEX(Paces!$B$5:$K$15,MATCH(H81,Paces!$A$5:$A$15,0),MATCH(Q81,Paces!$B$4:$K$4,0))))))</f>
        <v>HR under 153</v>
      </c>
      <c r="J81" s="20"/>
      <c r="K81" s="21"/>
      <c r="L81" s="22"/>
      <c r="M81" s="20"/>
      <c r="N81" s="20"/>
      <c r="O81" s="23" t="str">
        <f aca="false">IF(AND(N(K81)&gt;0,N(L81)&gt;0),L81/K81,"")</f>
        <v/>
      </c>
      <c r="P81" s="24"/>
      <c r="Q81" s="17" t="s">
        <v>63</v>
      </c>
    </row>
    <row r="82" customFormat="false" ht="15" hidden="false" customHeight="false" outlineLevel="0" collapsed="false">
      <c r="A82" s="16" t="n">
        <v>46401</v>
      </c>
      <c r="B82" s="17" t="n">
        <v>12</v>
      </c>
      <c r="C82" s="17" t="s">
        <v>116</v>
      </c>
      <c r="D82" s="17" t="s">
        <v>64</v>
      </c>
      <c r="E82" s="17" t="s">
        <v>117</v>
      </c>
      <c r="F82" s="18" t="s">
        <v>124</v>
      </c>
      <c r="G82" s="19" t="n">
        <v>8.9</v>
      </c>
      <c r="H82" s="17" t="n">
        <f aca="false">IF(C82="Base",'Start here'!$B$7,IF(C82="Build",'Start here'!$B$14,'Start here'!$B$15))</f>
        <v>32</v>
      </c>
      <c r="I82" s="17" t="str">
        <f aca="false">IF(Q82="","",IF(Q82="E","HR under "&amp;ROUND('Start here'!$B$6*0.79,0),IF(Q82="REC","HR under "&amp;ROUND('Start here'!$B$6*0.76,0),IF(Q82="L","HR "&amp;ROUND('Start here'!$B$6*0.73,0)&amp;" to "&amp;ROUND('Start here'!$B$6*0.84,0),INDEX(Paces!$B$5:$K$15,MATCH(H82,Paces!$A$5:$A$15,0),MATCH(Q82,Paces!$B$4:$K$4,0))))))</f>
        <v>6:21/km</v>
      </c>
      <c r="J82" s="20"/>
      <c r="K82" s="21"/>
      <c r="L82" s="22"/>
      <c r="M82" s="20"/>
      <c r="N82" s="20"/>
      <c r="O82" s="23" t="str">
        <f aca="false">IF(AND(N(K82)&gt;0,N(L82)&gt;0),L82/K82,"")</f>
        <v/>
      </c>
      <c r="P82" s="24"/>
      <c r="Q82" s="17" t="s">
        <v>117</v>
      </c>
    </row>
    <row r="83" customFormat="false" ht="15" hidden="false" customHeight="false" outlineLevel="0" collapsed="false">
      <c r="A83" s="16" t="n">
        <v>46402</v>
      </c>
      <c r="B83" s="17" t="n">
        <v>12</v>
      </c>
      <c r="C83" s="17" t="s">
        <v>116</v>
      </c>
      <c r="D83" s="17" t="s">
        <v>67</v>
      </c>
      <c r="E83" s="17" t="s">
        <v>54</v>
      </c>
      <c r="F83" s="18" t="s">
        <v>55</v>
      </c>
      <c r="G83" s="19"/>
      <c r="H83" s="17" t="n">
        <f aca="false">IF(C83="Base",'Start here'!$B$7,IF(C83="Build",'Start here'!$B$14,'Start here'!$B$15))</f>
        <v>32</v>
      </c>
      <c r="I83" s="17" t="str">
        <f aca="false">IF(Q83="","",IF(Q83="E","HR under "&amp;ROUND('Start here'!$B$6*0.79,0),IF(Q83="REC","HR under "&amp;ROUND('Start here'!$B$6*0.76,0),IF(Q83="L","HR "&amp;ROUND('Start here'!$B$6*0.73,0)&amp;" to "&amp;ROUND('Start here'!$B$6*0.84,0),INDEX(Paces!$B$5:$K$15,MATCH(H83,Paces!$A$5:$A$15,0),MATCH(Q83,Paces!$B$4:$K$4,0))))))</f>
        <v/>
      </c>
      <c r="J83" s="20"/>
      <c r="K83" s="21"/>
      <c r="L83" s="22"/>
      <c r="M83" s="20"/>
      <c r="N83" s="20"/>
      <c r="O83" s="23" t="str">
        <f aca="false">IF(AND(N(K83)&gt;0,N(L83)&gt;0),L83/K83,"")</f>
        <v/>
      </c>
      <c r="P83" s="24"/>
      <c r="Q83" s="17"/>
    </row>
    <row r="84" customFormat="false" ht="15" hidden="false" customHeight="false" outlineLevel="0" collapsed="false">
      <c r="A84" s="16" t="n">
        <v>46403</v>
      </c>
      <c r="B84" s="17" t="n">
        <v>12</v>
      </c>
      <c r="C84" s="17" t="s">
        <v>116</v>
      </c>
      <c r="D84" s="17" t="s">
        <v>68</v>
      </c>
      <c r="E84" s="17" t="s">
        <v>125</v>
      </c>
      <c r="F84" s="18" t="s">
        <v>126</v>
      </c>
      <c r="G84" s="19" t="n">
        <v>16</v>
      </c>
      <c r="H84" s="17" t="n">
        <f aca="false">IF(C84="Base",'Start here'!$B$7,IF(C84="Build",'Start here'!$B$14,'Start here'!$B$15))</f>
        <v>32</v>
      </c>
      <c r="I84" s="17" t="str">
        <f aca="false">IF(Q84="","",IF(Q84="E","HR under "&amp;ROUND('Start here'!$B$6*0.79,0),IF(Q84="REC","HR under "&amp;ROUND('Start here'!$B$6*0.76,0),IF(Q84="L","HR "&amp;ROUND('Start here'!$B$6*0.73,0)&amp;" to "&amp;ROUND('Start here'!$B$6*0.84,0),INDEX(Paces!$B$5:$K$15,MATCH(H84,Paces!$A$5:$A$15,0),MATCH(Q84,Paces!$B$4:$K$4,0))))))</f>
        <v>HR 142 to 163</v>
      </c>
      <c r="J84" s="20"/>
      <c r="K84" s="21"/>
      <c r="L84" s="22"/>
      <c r="M84" s="20"/>
      <c r="N84" s="20"/>
      <c r="O84" s="23" t="str">
        <f aca="false">IF(AND(N(K84)&gt;0,N(L84)&gt;0),L84/K84,"")</f>
        <v/>
      </c>
      <c r="P84" s="24"/>
      <c r="Q84" s="17" t="s">
        <v>71</v>
      </c>
    </row>
    <row r="85" customFormat="false" ht="15" hidden="false" customHeight="false" outlineLevel="0" collapsed="false">
      <c r="A85" s="16" t="n">
        <v>46404</v>
      </c>
      <c r="B85" s="17" t="n">
        <v>12</v>
      </c>
      <c r="C85" s="17" t="s">
        <v>116</v>
      </c>
      <c r="D85" s="17" t="s">
        <v>72</v>
      </c>
      <c r="E85" s="17" t="s">
        <v>94</v>
      </c>
      <c r="F85" s="18" t="s">
        <v>127</v>
      </c>
      <c r="G85" s="19" t="n">
        <v>4</v>
      </c>
      <c r="H85" s="17" t="n">
        <f aca="false">IF(C85="Base",'Start here'!$B$7,IF(C85="Build",'Start here'!$B$14,'Start here'!$B$15))</f>
        <v>32</v>
      </c>
      <c r="I85" s="17" t="str">
        <f aca="false">IF(Q85="","",IF(Q85="E","HR under "&amp;ROUND('Start here'!$B$6*0.79,0),IF(Q85="REC","HR under "&amp;ROUND('Start here'!$B$6*0.76,0),IF(Q85="L","HR "&amp;ROUND('Start here'!$B$6*0.73,0)&amp;" to "&amp;ROUND('Start here'!$B$6*0.84,0),INDEX(Paces!$B$5:$K$15,MATCH(H85,Paces!$A$5:$A$15,0),MATCH(Q85,Paces!$B$4:$K$4,0))))))</f>
        <v>HR under 147</v>
      </c>
      <c r="J85" s="20"/>
      <c r="K85" s="21"/>
      <c r="L85" s="22"/>
      <c r="M85" s="20"/>
      <c r="N85" s="20"/>
      <c r="O85" s="23" t="str">
        <f aca="false">IF(AND(N(K85)&gt;0,N(L85)&gt;0),L85/K85,"")</f>
        <v/>
      </c>
      <c r="P85" s="24"/>
      <c r="Q85" s="17" t="s">
        <v>75</v>
      </c>
    </row>
    <row r="86" customFormat="false" ht="15" hidden="false" customHeight="false" outlineLevel="0" collapsed="false">
      <c r="A86" s="16" t="n">
        <v>46405</v>
      </c>
      <c r="B86" s="17" t="n">
        <v>13</v>
      </c>
      <c r="C86" s="17" t="s">
        <v>116</v>
      </c>
      <c r="D86" s="17" t="s">
        <v>53</v>
      </c>
      <c r="E86" s="17" t="s">
        <v>54</v>
      </c>
      <c r="F86" s="18" t="s">
        <v>55</v>
      </c>
      <c r="G86" s="19"/>
      <c r="H86" s="17" t="n">
        <f aca="false">IF(C86="Base",'Start here'!$B$7,IF(C86="Build",'Start here'!$B$14,'Start here'!$B$15))</f>
        <v>32</v>
      </c>
      <c r="I86" s="17" t="str">
        <f aca="false">IF(Q86="","",IF(Q86="E","HR under "&amp;ROUND('Start here'!$B$6*0.79,0),IF(Q86="REC","HR under "&amp;ROUND('Start here'!$B$6*0.76,0),IF(Q86="L","HR "&amp;ROUND('Start here'!$B$6*0.73,0)&amp;" to "&amp;ROUND('Start here'!$B$6*0.84,0),INDEX(Paces!$B$5:$K$15,MATCH(H86,Paces!$A$5:$A$15,0),MATCH(Q86,Paces!$B$4:$K$4,0))))))</f>
        <v/>
      </c>
      <c r="J86" s="20"/>
      <c r="K86" s="21"/>
      <c r="L86" s="22"/>
      <c r="M86" s="20"/>
      <c r="N86" s="20"/>
      <c r="O86" s="23" t="str">
        <f aca="false">IF(AND(N(K86)&gt;0,N(L86)&gt;0),L86/K86,"")</f>
        <v/>
      </c>
      <c r="P86" s="24"/>
      <c r="Q86" s="17"/>
    </row>
    <row r="87" customFormat="false" ht="15" hidden="false" customHeight="false" outlineLevel="0" collapsed="false">
      <c r="A87" s="16" t="n">
        <v>46406</v>
      </c>
      <c r="B87" s="17" t="n">
        <v>13</v>
      </c>
      <c r="C87" s="17" t="s">
        <v>116</v>
      </c>
      <c r="D87" s="17" t="s">
        <v>56</v>
      </c>
      <c r="E87" s="17" t="s">
        <v>57</v>
      </c>
      <c r="F87" s="18" t="s">
        <v>96</v>
      </c>
      <c r="G87" s="19" t="n">
        <v>7</v>
      </c>
      <c r="H87" s="17" t="n">
        <f aca="false">IF(C87="Base",'Start here'!$B$7,IF(C87="Build",'Start here'!$B$14,'Start here'!$B$15))</f>
        <v>32</v>
      </c>
      <c r="I87" s="17" t="str">
        <f aca="false">IF(Q87="","",IF(Q87="E","HR under "&amp;ROUND('Start here'!$B$6*0.79,0),IF(Q87="REC","HR under "&amp;ROUND('Start here'!$B$6*0.76,0),IF(Q87="L","HR "&amp;ROUND('Start here'!$B$6*0.73,0)&amp;" to "&amp;ROUND('Start here'!$B$6*0.84,0),INDEX(Paces!$B$5:$K$15,MATCH(H87,Paces!$A$5:$A$15,0),MATCH(Q87,Paces!$B$4:$K$4,0))))))</f>
        <v>6:05/km</v>
      </c>
      <c r="J87" s="20"/>
      <c r="K87" s="21"/>
      <c r="L87" s="22"/>
      <c r="M87" s="20"/>
      <c r="N87" s="20"/>
      <c r="O87" s="23" t="str">
        <f aca="false">IF(AND(N(K87)&gt;0,N(L87)&gt;0),L87/K87,"")</f>
        <v/>
      </c>
      <c r="P87" s="24"/>
      <c r="Q87" s="17" t="s">
        <v>59</v>
      </c>
    </row>
    <row r="88" customFormat="false" ht="15" hidden="false" customHeight="false" outlineLevel="0" collapsed="false">
      <c r="A88" s="16" t="n">
        <v>46407</v>
      </c>
      <c r="B88" s="17" t="n">
        <v>13</v>
      </c>
      <c r="C88" s="17" t="s">
        <v>116</v>
      </c>
      <c r="D88" s="17" t="s">
        <v>60</v>
      </c>
      <c r="E88" s="17" t="s">
        <v>65</v>
      </c>
      <c r="F88" s="18" t="s">
        <v>128</v>
      </c>
      <c r="G88" s="19" t="n">
        <v>5</v>
      </c>
      <c r="H88" s="17" t="n">
        <f aca="false">IF(C88="Base",'Start here'!$B$7,IF(C88="Build",'Start here'!$B$14,'Start here'!$B$15))</f>
        <v>32</v>
      </c>
      <c r="I88" s="17" t="str">
        <f aca="false">IF(Q88="","",IF(Q88="E","HR under "&amp;ROUND('Start here'!$B$6*0.79,0),IF(Q88="REC","HR under "&amp;ROUND('Start here'!$B$6*0.76,0),IF(Q88="L","HR "&amp;ROUND('Start here'!$B$6*0.73,0)&amp;" to "&amp;ROUND('Start here'!$B$6*0.84,0),INDEX(Paces!$B$5:$K$15,MATCH(H88,Paces!$A$5:$A$15,0),MATCH(Q88,Paces!$B$4:$K$4,0))))))</f>
        <v>HR under 153</v>
      </c>
      <c r="J88" s="20"/>
      <c r="K88" s="21"/>
      <c r="L88" s="22"/>
      <c r="M88" s="20"/>
      <c r="N88" s="20"/>
      <c r="O88" s="23" t="str">
        <f aca="false">IF(AND(N(K88)&gt;0,N(L88)&gt;0),L88/K88,"")</f>
        <v/>
      </c>
      <c r="P88" s="24"/>
      <c r="Q88" s="17" t="s">
        <v>63</v>
      </c>
    </row>
    <row r="89" customFormat="false" ht="15" hidden="false" customHeight="false" outlineLevel="0" collapsed="false">
      <c r="A89" s="16" t="n">
        <v>46408</v>
      </c>
      <c r="B89" s="17" t="n">
        <v>13</v>
      </c>
      <c r="C89" s="17" t="s">
        <v>116</v>
      </c>
      <c r="D89" s="17" t="s">
        <v>64</v>
      </c>
      <c r="E89" s="17" t="s">
        <v>61</v>
      </c>
      <c r="F89" s="18" t="s">
        <v>62</v>
      </c>
      <c r="G89" s="19" t="n">
        <v>4.6</v>
      </c>
      <c r="H89" s="17" t="n">
        <f aca="false">IF(C89="Base",'Start here'!$B$7,IF(C89="Build",'Start here'!$B$14,'Start here'!$B$15))</f>
        <v>32</v>
      </c>
      <c r="I89" s="17" t="str">
        <f aca="false">IF(Q89="","",IF(Q89="E","HR under "&amp;ROUND('Start here'!$B$6*0.79,0),IF(Q89="REC","HR under "&amp;ROUND('Start here'!$B$6*0.76,0),IF(Q89="L","HR "&amp;ROUND('Start here'!$B$6*0.73,0)&amp;" to "&amp;ROUND('Start here'!$B$6*0.84,0),INDEX(Paces!$B$5:$K$15,MATCH(H89,Paces!$A$5:$A$15,0),MATCH(Q89,Paces!$B$4:$K$4,0))))))</f>
        <v>HR under 153</v>
      </c>
      <c r="J89" s="20"/>
      <c r="K89" s="21"/>
      <c r="L89" s="22"/>
      <c r="M89" s="20"/>
      <c r="N89" s="20"/>
      <c r="O89" s="23" t="str">
        <f aca="false">IF(AND(N(K89)&gt;0,N(L89)&gt;0),L89/K89,"")</f>
        <v/>
      </c>
      <c r="P89" s="24"/>
      <c r="Q89" s="17" t="s">
        <v>63</v>
      </c>
    </row>
    <row r="90" customFormat="false" ht="15" hidden="false" customHeight="false" outlineLevel="0" collapsed="false">
      <c r="A90" s="16" t="n">
        <v>46409</v>
      </c>
      <c r="B90" s="17" t="n">
        <v>13</v>
      </c>
      <c r="C90" s="17" t="s">
        <v>116</v>
      </c>
      <c r="D90" s="17" t="s">
        <v>67</v>
      </c>
      <c r="E90" s="17" t="s">
        <v>54</v>
      </c>
      <c r="F90" s="18" t="s">
        <v>55</v>
      </c>
      <c r="G90" s="19"/>
      <c r="H90" s="17" t="n">
        <f aca="false">IF(C90="Base",'Start here'!$B$7,IF(C90="Build",'Start here'!$B$14,'Start here'!$B$15))</f>
        <v>32</v>
      </c>
      <c r="I90" s="17" t="str">
        <f aca="false">IF(Q90="","",IF(Q90="E","HR under "&amp;ROUND('Start here'!$B$6*0.79,0),IF(Q90="REC","HR under "&amp;ROUND('Start here'!$B$6*0.76,0),IF(Q90="L","HR "&amp;ROUND('Start here'!$B$6*0.73,0)&amp;" to "&amp;ROUND('Start here'!$B$6*0.84,0),INDEX(Paces!$B$5:$K$15,MATCH(H90,Paces!$A$5:$A$15,0),MATCH(Q90,Paces!$B$4:$K$4,0))))))</f>
        <v/>
      </c>
      <c r="J90" s="20"/>
      <c r="K90" s="21"/>
      <c r="L90" s="22"/>
      <c r="M90" s="20"/>
      <c r="N90" s="20"/>
      <c r="O90" s="23" t="str">
        <f aca="false">IF(AND(N(K90)&gt;0,N(L90)&gt;0),L90/K90,"")</f>
        <v/>
      </c>
      <c r="P90" s="24"/>
      <c r="Q90" s="17"/>
    </row>
    <row r="91" customFormat="false" ht="35.05" hidden="false" customHeight="false" outlineLevel="0" collapsed="false">
      <c r="A91" s="16" t="n">
        <v>46410</v>
      </c>
      <c r="B91" s="17" t="n">
        <v>13</v>
      </c>
      <c r="C91" s="17" t="s">
        <v>116</v>
      </c>
      <c r="D91" s="17" t="s">
        <v>68</v>
      </c>
      <c r="E91" s="25" t="s">
        <v>129</v>
      </c>
      <c r="F91" s="26" t="s">
        <v>130</v>
      </c>
      <c r="G91" s="19" t="n">
        <v>13</v>
      </c>
      <c r="H91" s="17" t="n">
        <f aca="false">IF(C91="Base",'Start here'!$B$7,IF(C91="Build",'Start here'!$B$14,'Start here'!$B$15))</f>
        <v>32</v>
      </c>
      <c r="I91" s="17" t="str">
        <f aca="false">IF(Q91="","",IF(Q91="E","HR under "&amp;ROUND('Start here'!$B$6*0.79,0),IF(Q91="REC","HR under "&amp;ROUND('Start here'!$B$6*0.76,0),IF(Q91="L","HR "&amp;ROUND('Start here'!$B$6*0.73,0)&amp;" to "&amp;ROUND('Start here'!$B$6*0.84,0),INDEX(Paces!$B$5:$K$15,MATCH(H91,Paces!$A$5:$A$15,0),MATCH(Q91,Paces!$B$4:$K$4,0))))))</f>
        <v>6:21/km</v>
      </c>
      <c r="J91" s="20"/>
      <c r="K91" s="21"/>
      <c r="L91" s="22"/>
      <c r="M91" s="20"/>
      <c r="N91" s="20"/>
      <c r="O91" s="23" t="str">
        <f aca="false">IF(AND(N(K91)&gt;0,N(L91)&gt;0),L91/K91,"")</f>
        <v/>
      </c>
      <c r="P91" s="24"/>
      <c r="Q91" s="17" t="s">
        <v>117</v>
      </c>
    </row>
    <row r="92" customFormat="false" ht="15" hidden="false" customHeight="false" outlineLevel="0" collapsed="false">
      <c r="A92" s="16" t="n">
        <v>46411</v>
      </c>
      <c r="B92" s="17" t="n">
        <v>13</v>
      </c>
      <c r="C92" s="17" t="s">
        <v>116</v>
      </c>
      <c r="D92" s="17" t="s">
        <v>72</v>
      </c>
      <c r="E92" s="17" t="s">
        <v>73</v>
      </c>
      <c r="F92" s="18" t="s">
        <v>131</v>
      </c>
      <c r="G92" s="19" t="n">
        <v>4.2</v>
      </c>
      <c r="H92" s="17" t="n">
        <f aca="false">IF(C92="Base",'Start here'!$B$7,IF(C92="Build",'Start here'!$B$14,'Start here'!$B$15))</f>
        <v>32</v>
      </c>
      <c r="I92" s="17" t="str">
        <f aca="false">IF(Q92="","",IF(Q92="E","HR under "&amp;ROUND('Start here'!$B$6*0.79,0),IF(Q92="REC","HR under "&amp;ROUND('Start here'!$B$6*0.76,0),IF(Q92="L","HR "&amp;ROUND('Start here'!$B$6*0.73,0)&amp;" to "&amp;ROUND('Start here'!$B$6*0.84,0),INDEX(Paces!$B$5:$K$15,MATCH(H92,Paces!$A$5:$A$15,0),MATCH(Q92,Paces!$B$4:$K$4,0))))))</f>
        <v>HR under 147</v>
      </c>
      <c r="J92" s="20"/>
      <c r="K92" s="21"/>
      <c r="L92" s="22"/>
      <c r="M92" s="20"/>
      <c r="N92" s="20"/>
      <c r="O92" s="23" t="str">
        <f aca="false">IF(AND(N(K92)&gt;0,N(L92)&gt;0),L92/K92,"")</f>
        <v/>
      </c>
      <c r="P92" s="24"/>
      <c r="Q92" s="17" t="s">
        <v>75</v>
      </c>
    </row>
    <row r="93" customFormat="false" ht="15" hidden="false" customHeight="false" outlineLevel="0" collapsed="false">
      <c r="A93" s="16" t="n">
        <v>46412</v>
      </c>
      <c r="B93" s="17" t="n">
        <v>14</v>
      </c>
      <c r="C93" s="17" t="s">
        <v>132</v>
      </c>
      <c r="D93" s="17" t="s">
        <v>53</v>
      </c>
      <c r="E93" s="17" t="s">
        <v>54</v>
      </c>
      <c r="F93" s="18" t="s">
        <v>55</v>
      </c>
      <c r="G93" s="19"/>
      <c r="H93" s="17" t="n">
        <f aca="false">IF(C93="Base",'Start here'!$B$7,IF(C93="Build",'Start here'!$B$14,'Start here'!$B$15))</f>
        <v>32</v>
      </c>
      <c r="I93" s="17" t="str">
        <f aca="false">IF(Q93="","",IF(Q93="E","HR under "&amp;ROUND('Start here'!$B$6*0.79,0),IF(Q93="REC","HR under "&amp;ROUND('Start here'!$B$6*0.76,0),IF(Q93="L","HR "&amp;ROUND('Start here'!$B$6*0.73,0)&amp;" to "&amp;ROUND('Start here'!$B$6*0.84,0),INDEX(Paces!$B$5:$K$15,MATCH(H93,Paces!$A$5:$A$15,0),MATCH(Q93,Paces!$B$4:$K$4,0))))))</f>
        <v/>
      </c>
      <c r="J93" s="20"/>
      <c r="K93" s="21"/>
      <c r="L93" s="22"/>
      <c r="M93" s="20"/>
      <c r="N93" s="20"/>
      <c r="O93" s="23" t="str">
        <f aca="false">IF(AND(N(K93)&gt;0,N(L93)&gt;0),L93/K93,"")</f>
        <v/>
      </c>
      <c r="P93" s="24"/>
      <c r="Q93" s="17"/>
    </row>
    <row r="94" customFormat="false" ht="15" hidden="false" customHeight="false" outlineLevel="0" collapsed="false">
      <c r="A94" s="16" t="n">
        <v>46413</v>
      </c>
      <c r="B94" s="17" t="n">
        <v>14</v>
      </c>
      <c r="C94" s="17" t="s">
        <v>132</v>
      </c>
      <c r="D94" s="17" t="s">
        <v>56</v>
      </c>
      <c r="E94" s="17" t="s">
        <v>57</v>
      </c>
      <c r="F94" s="18" t="s">
        <v>58</v>
      </c>
      <c r="G94" s="19" t="n">
        <v>6.7</v>
      </c>
      <c r="H94" s="17" t="n">
        <f aca="false">IF(C94="Base",'Start here'!$B$7,IF(C94="Build",'Start here'!$B$14,'Start here'!$B$15))</f>
        <v>32</v>
      </c>
      <c r="I94" s="17" t="str">
        <f aca="false">IF(Q94="","",IF(Q94="E","HR under "&amp;ROUND('Start here'!$B$6*0.79,0),IF(Q94="REC","HR under "&amp;ROUND('Start here'!$B$6*0.76,0),IF(Q94="L","HR "&amp;ROUND('Start here'!$B$6*0.73,0)&amp;" to "&amp;ROUND('Start here'!$B$6*0.84,0),INDEX(Paces!$B$5:$K$15,MATCH(H94,Paces!$A$5:$A$15,0),MATCH(Q94,Paces!$B$4:$K$4,0))))))</f>
        <v>6:05/km</v>
      </c>
      <c r="J94" s="20"/>
      <c r="K94" s="21"/>
      <c r="L94" s="22"/>
      <c r="M94" s="20"/>
      <c r="N94" s="20"/>
      <c r="O94" s="23" t="str">
        <f aca="false">IF(AND(N(K94)&gt;0,N(L94)&gt;0),L94/K94,"")</f>
        <v/>
      </c>
      <c r="P94" s="24"/>
      <c r="Q94" s="17" t="s">
        <v>59</v>
      </c>
    </row>
    <row r="95" customFormat="false" ht="15" hidden="false" customHeight="false" outlineLevel="0" collapsed="false">
      <c r="A95" s="16" t="n">
        <v>46414</v>
      </c>
      <c r="B95" s="17" t="n">
        <v>14</v>
      </c>
      <c r="C95" s="17" t="s">
        <v>132</v>
      </c>
      <c r="D95" s="17" t="s">
        <v>60</v>
      </c>
      <c r="E95" s="17" t="s">
        <v>61</v>
      </c>
      <c r="F95" s="18" t="s">
        <v>62</v>
      </c>
      <c r="G95" s="19" t="n">
        <v>4.6</v>
      </c>
      <c r="H95" s="17" t="n">
        <f aca="false">IF(C95="Base",'Start here'!$B$7,IF(C95="Build",'Start here'!$B$14,'Start here'!$B$15))</f>
        <v>32</v>
      </c>
      <c r="I95" s="17" t="str">
        <f aca="false">IF(Q95="","",IF(Q95="E","HR under "&amp;ROUND('Start here'!$B$6*0.79,0),IF(Q95="REC","HR under "&amp;ROUND('Start here'!$B$6*0.76,0),IF(Q95="L","HR "&amp;ROUND('Start here'!$B$6*0.73,0)&amp;" to "&amp;ROUND('Start here'!$B$6*0.84,0),INDEX(Paces!$B$5:$K$15,MATCH(H95,Paces!$A$5:$A$15,0),MATCH(Q95,Paces!$B$4:$K$4,0))))))</f>
        <v>HR under 153</v>
      </c>
      <c r="J95" s="20"/>
      <c r="K95" s="21"/>
      <c r="L95" s="22"/>
      <c r="M95" s="20"/>
      <c r="N95" s="20"/>
      <c r="O95" s="23" t="str">
        <f aca="false">IF(AND(N(K95)&gt;0,N(L95)&gt;0),L95/K95,"")</f>
        <v/>
      </c>
      <c r="P95" s="24"/>
      <c r="Q95" s="17" t="s">
        <v>63</v>
      </c>
    </row>
    <row r="96" customFormat="false" ht="15" hidden="false" customHeight="false" outlineLevel="0" collapsed="false">
      <c r="A96" s="16" t="n">
        <v>46415</v>
      </c>
      <c r="B96" s="17" t="n">
        <v>14</v>
      </c>
      <c r="C96" s="17" t="s">
        <v>132</v>
      </c>
      <c r="D96" s="17" t="s">
        <v>64</v>
      </c>
      <c r="E96" s="17" t="s">
        <v>117</v>
      </c>
      <c r="F96" s="18" t="s">
        <v>133</v>
      </c>
      <c r="G96" s="19" t="n">
        <v>7.8</v>
      </c>
      <c r="H96" s="17" t="n">
        <f aca="false">IF(C96="Base",'Start here'!$B$7,IF(C96="Build",'Start here'!$B$14,'Start here'!$B$15))</f>
        <v>32</v>
      </c>
      <c r="I96" s="17" t="str">
        <f aca="false">IF(Q96="","",IF(Q96="E","HR under "&amp;ROUND('Start here'!$B$6*0.79,0),IF(Q96="REC","HR under "&amp;ROUND('Start here'!$B$6*0.76,0),IF(Q96="L","HR "&amp;ROUND('Start here'!$B$6*0.73,0)&amp;" to "&amp;ROUND('Start here'!$B$6*0.84,0),INDEX(Paces!$B$5:$K$15,MATCH(H96,Paces!$A$5:$A$15,0),MATCH(Q96,Paces!$B$4:$K$4,0))))))</f>
        <v>6:21/km</v>
      </c>
      <c r="J96" s="20"/>
      <c r="K96" s="21"/>
      <c r="L96" s="22"/>
      <c r="M96" s="20"/>
      <c r="N96" s="20"/>
      <c r="O96" s="23" t="str">
        <f aca="false">IF(AND(N(K96)&gt;0,N(L96)&gt;0),L96/K96,"")</f>
        <v/>
      </c>
      <c r="P96" s="24"/>
      <c r="Q96" s="17" t="s">
        <v>117</v>
      </c>
    </row>
    <row r="97" customFormat="false" ht="15" hidden="false" customHeight="false" outlineLevel="0" collapsed="false">
      <c r="A97" s="16" t="n">
        <v>46416</v>
      </c>
      <c r="B97" s="17" t="n">
        <v>14</v>
      </c>
      <c r="C97" s="17" t="s">
        <v>132</v>
      </c>
      <c r="D97" s="17" t="s">
        <v>67</v>
      </c>
      <c r="E97" s="17" t="s">
        <v>54</v>
      </c>
      <c r="F97" s="18" t="s">
        <v>55</v>
      </c>
      <c r="G97" s="19"/>
      <c r="H97" s="17" t="n">
        <f aca="false">IF(C97="Base",'Start here'!$B$7,IF(C97="Build",'Start here'!$B$14,'Start here'!$B$15))</f>
        <v>32</v>
      </c>
      <c r="I97" s="17" t="str">
        <f aca="false">IF(Q97="","",IF(Q97="E","HR under "&amp;ROUND('Start here'!$B$6*0.79,0),IF(Q97="REC","HR under "&amp;ROUND('Start here'!$B$6*0.76,0),IF(Q97="L","HR "&amp;ROUND('Start here'!$B$6*0.73,0)&amp;" to "&amp;ROUND('Start here'!$B$6*0.84,0),INDEX(Paces!$B$5:$K$15,MATCH(H97,Paces!$A$5:$A$15,0),MATCH(Q97,Paces!$B$4:$K$4,0))))))</f>
        <v/>
      </c>
      <c r="J97" s="20"/>
      <c r="K97" s="21"/>
      <c r="L97" s="22"/>
      <c r="M97" s="20"/>
      <c r="N97" s="20"/>
      <c r="O97" s="23" t="str">
        <f aca="false">IF(AND(N(K97)&gt;0,N(L97)&gt;0),L97/K97,"")</f>
        <v/>
      </c>
      <c r="P97" s="24"/>
      <c r="Q97" s="17"/>
    </row>
    <row r="98" customFormat="false" ht="15" hidden="false" customHeight="false" outlineLevel="0" collapsed="false">
      <c r="A98" s="16" t="n">
        <v>46417</v>
      </c>
      <c r="B98" s="17" t="n">
        <v>14</v>
      </c>
      <c r="C98" s="17" t="s">
        <v>132</v>
      </c>
      <c r="D98" s="17" t="s">
        <v>68</v>
      </c>
      <c r="E98" s="17" t="s">
        <v>61</v>
      </c>
      <c r="F98" s="18" t="s">
        <v>85</v>
      </c>
      <c r="G98" s="19" t="n">
        <v>3.9</v>
      </c>
      <c r="H98" s="17" t="n">
        <f aca="false">IF(C98="Base",'Start here'!$B$7,IF(C98="Build",'Start here'!$B$14,'Start here'!$B$15))</f>
        <v>32</v>
      </c>
      <c r="I98" s="17" t="str">
        <f aca="false">IF(Q98="","",IF(Q98="E","HR under "&amp;ROUND('Start here'!$B$6*0.79,0),IF(Q98="REC","HR under "&amp;ROUND('Start here'!$B$6*0.76,0),IF(Q98="L","HR "&amp;ROUND('Start here'!$B$6*0.73,0)&amp;" to "&amp;ROUND('Start here'!$B$6*0.84,0),INDEX(Paces!$B$5:$K$15,MATCH(H98,Paces!$A$5:$A$15,0),MATCH(Q98,Paces!$B$4:$K$4,0))))))</f>
        <v>HR under 153</v>
      </c>
      <c r="J98" s="20"/>
      <c r="K98" s="21"/>
      <c r="L98" s="22"/>
      <c r="M98" s="20"/>
      <c r="N98" s="20"/>
      <c r="O98" s="23" t="str">
        <f aca="false">IF(AND(N(K98)&gt;0,N(L98)&gt;0),L98/K98,"")</f>
        <v/>
      </c>
      <c r="P98" s="24"/>
      <c r="Q98" s="17" t="s">
        <v>63</v>
      </c>
    </row>
    <row r="99" customFormat="false" ht="23.85" hidden="false" customHeight="false" outlineLevel="0" collapsed="false">
      <c r="A99" s="16" t="n">
        <v>46418</v>
      </c>
      <c r="B99" s="17" t="n">
        <v>14</v>
      </c>
      <c r="C99" s="17" t="s">
        <v>132</v>
      </c>
      <c r="D99" s="17" t="s">
        <v>72</v>
      </c>
      <c r="E99" s="17" t="s">
        <v>134</v>
      </c>
      <c r="F99" s="18" t="s">
        <v>135</v>
      </c>
      <c r="G99" s="19" t="n">
        <v>10</v>
      </c>
      <c r="H99" s="17" t="n">
        <f aca="false">IF(C99="Base",'Start here'!$B$7,IF(C99="Build",'Start here'!$B$14,'Start here'!$B$15))</f>
        <v>32</v>
      </c>
      <c r="I99" s="17" t="str">
        <f aca="false">IF(Q99="","",IF(Q99="E","HR under "&amp;ROUND('Start here'!$B$6*0.79,0),IF(Q99="REC","HR under "&amp;ROUND('Start here'!$B$6*0.76,0),IF(Q99="L","HR "&amp;ROUND('Start here'!$B$6*0.73,0)&amp;" to "&amp;ROUND('Start here'!$B$6*0.84,0),INDEX(Paces!$B$5:$K$15,MATCH(H99,Paces!$A$5:$A$15,0),MATCH(Q99,Paces!$B$4:$K$4,0))))))</f>
        <v>HR 142 to 163</v>
      </c>
      <c r="J99" s="20"/>
      <c r="K99" s="21"/>
      <c r="L99" s="22"/>
      <c r="M99" s="20"/>
      <c r="N99" s="20"/>
      <c r="O99" s="23" t="str">
        <f aca="false">IF(AND(N(K99)&gt;0,N(L99)&gt;0),L99/K99,"")</f>
        <v/>
      </c>
      <c r="P99" s="24"/>
      <c r="Q99" s="17" t="s">
        <v>71</v>
      </c>
    </row>
    <row r="100" customFormat="false" ht="15" hidden="false" customHeight="false" outlineLevel="0" collapsed="false">
      <c r="A100" s="16" t="n">
        <v>46419</v>
      </c>
      <c r="B100" s="17" t="n">
        <v>15</v>
      </c>
      <c r="C100" s="17" t="s">
        <v>132</v>
      </c>
      <c r="D100" s="17" t="s">
        <v>53</v>
      </c>
      <c r="E100" s="17" t="s">
        <v>136</v>
      </c>
      <c r="F100" s="18" t="s">
        <v>137</v>
      </c>
      <c r="G100" s="19" t="n">
        <v>3</v>
      </c>
      <c r="H100" s="17" t="n">
        <f aca="false">IF(C100="Base",'Start here'!$B$7,IF(C100="Build",'Start here'!$B$14,'Start here'!$B$15))</f>
        <v>32</v>
      </c>
      <c r="I100" s="17" t="str">
        <f aca="false">IF(Q100="","",IF(Q100="E","HR under "&amp;ROUND('Start here'!$B$6*0.79,0),IF(Q100="REC","HR under "&amp;ROUND('Start here'!$B$6*0.76,0),IF(Q100="L","HR "&amp;ROUND('Start here'!$B$6*0.73,0)&amp;" to "&amp;ROUND('Start here'!$B$6*0.84,0),INDEX(Paces!$B$5:$K$15,MATCH(H100,Paces!$A$5:$A$15,0),MATCH(Q100,Paces!$B$4:$K$4,0))))))</f>
        <v>HR under 153</v>
      </c>
      <c r="J100" s="20"/>
      <c r="K100" s="21"/>
      <c r="L100" s="22"/>
      <c r="M100" s="20"/>
      <c r="N100" s="20"/>
      <c r="O100" s="23" t="str">
        <f aca="false">IF(AND(N(K100)&gt;0,N(L100)&gt;0),L100/K100,"")</f>
        <v/>
      </c>
      <c r="P100" s="24"/>
      <c r="Q100" s="17" t="s">
        <v>63</v>
      </c>
    </row>
    <row r="101" customFormat="false" ht="15" hidden="false" customHeight="false" outlineLevel="0" collapsed="false">
      <c r="A101" s="16" t="n">
        <v>46420</v>
      </c>
      <c r="B101" s="17" t="n">
        <v>15</v>
      </c>
      <c r="C101" s="17" t="s">
        <v>132</v>
      </c>
      <c r="D101" s="17" t="s">
        <v>56</v>
      </c>
      <c r="E101" s="17" t="s">
        <v>61</v>
      </c>
      <c r="F101" s="18" t="s">
        <v>85</v>
      </c>
      <c r="G101" s="19" t="n">
        <v>3.9</v>
      </c>
      <c r="H101" s="17" t="n">
        <f aca="false">IF(C101="Base",'Start here'!$B$7,IF(C101="Build",'Start here'!$B$14,'Start here'!$B$15))</f>
        <v>32</v>
      </c>
      <c r="I101" s="17" t="str">
        <f aca="false">IF(Q101="","",IF(Q101="E","HR under "&amp;ROUND('Start here'!$B$6*0.79,0),IF(Q101="REC","HR under "&amp;ROUND('Start here'!$B$6*0.76,0),IF(Q101="L","HR "&amp;ROUND('Start here'!$B$6*0.73,0)&amp;" to "&amp;ROUND('Start here'!$B$6*0.84,0),INDEX(Paces!$B$5:$K$15,MATCH(H101,Paces!$A$5:$A$15,0),MATCH(Q101,Paces!$B$4:$K$4,0))))))</f>
        <v>HR under 153</v>
      </c>
      <c r="J101" s="20"/>
      <c r="K101" s="21"/>
      <c r="L101" s="22"/>
      <c r="M101" s="20"/>
      <c r="N101" s="20"/>
      <c r="O101" s="23" t="str">
        <f aca="false">IF(AND(N(K101)&gt;0,N(L101)&gt;0),L101/K101,"")</f>
        <v/>
      </c>
      <c r="P101" s="24"/>
      <c r="Q101" s="17" t="s">
        <v>63</v>
      </c>
    </row>
    <row r="102" customFormat="false" ht="23.85" hidden="false" customHeight="false" outlineLevel="0" collapsed="false">
      <c r="A102" s="16" t="n">
        <v>46421</v>
      </c>
      <c r="B102" s="17" t="n">
        <v>15</v>
      </c>
      <c r="C102" s="17" t="s">
        <v>132</v>
      </c>
      <c r="D102" s="17" t="s">
        <v>60</v>
      </c>
      <c r="E102" s="17" t="s">
        <v>138</v>
      </c>
      <c r="F102" s="18" t="s">
        <v>139</v>
      </c>
      <c r="G102" s="19" t="n">
        <v>6.5</v>
      </c>
      <c r="H102" s="17" t="n">
        <f aca="false">IF(C102="Base",'Start here'!$B$7,IF(C102="Build",'Start here'!$B$14,'Start here'!$B$15))</f>
        <v>32</v>
      </c>
      <c r="I102" s="17" t="str">
        <f aca="false">IF(Q102="","",IF(Q102="E","HR under "&amp;ROUND('Start here'!$B$6*0.79,0),IF(Q102="REC","HR under "&amp;ROUND('Start here'!$B$6*0.76,0),IF(Q102="L","HR "&amp;ROUND('Start here'!$B$6*0.73,0)&amp;" to "&amp;ROUND('Start here'!$B$6*0.84,0),INDEX(Paces!$B$5:$K$15,MATCH(H102,Paces!$A$5:$A$15,0),MATCH(Q102,Paces!$B$4:$K$4,0))))))</f>
        <v>6:05/km</v>
      </c>
      <c r="J102" s="20"/>
      <c r="K102" s="21"/>
      <c r="L102" s="22"/>
      <c r="M102" s="20"/>
      <c r="N102" s="20"/>
      <c r="O102" s="23" t="str">
        <f aca="false">IF(AND(N(K102)&gt;0,N(L102)&gt;0),L102/K102,"")</f>
        <v/>
      </c>
      <c r="P102" s="24"/>
      <c r="Q102" s="17" t="s">
        <v>59</v>
      </c>
    </row>
    <row r="103" customFormat="false" ht="15" hidden="false" customHeight="false" outlineLevel="0" collapsed="false">
      <c r="A103" s="16" t="n">
        <v>46422</v>
      </c>
      <c r="B103" s="17" t="n">
        <v>15</v>
      </c>
      <c r="C103" s="17" t="s">
        <v>132</v>
      </c>
      <c r="D103" s="17" t="s">
        <v>64</v>
      </c>
      <c r="E103" s="17" t="s">
        <v>140</v>
      </c>
      <c r="F103" s="18" t="s">
        <v>141</v>
      </c>
      <c r="G103" s="19" t="n">
        <v>3</v>
      </c>
      <c r="H103" s="17" t="n">
        <f aca="false">IF(C103="Base",'Start here'!$B$7,IF(C103="Build",'Start here'!$B$14,'Start here'!$B$15))</f>
        <v>32</v>
      </c>
      <c r="I103" s="17" t="str">
        <f aca="false">IF(Q103="","",IF(Q103="E","HR under "&amp;ROUND('Start here'!$B$6*0.79,0),IF(Q103="REC","HR under "&amp;ROUND('Start here'!$B$6*0.76,0),IF(Q103="L","HR "&amp;ROUND('Start here'!$B$6*0.73,0)&amp;" to "&amp;ROUND('Start here'!$B$6*0.84,0),INDEX(Paces!$B$5:$K$15,MATCH(H103,Paces!$A$5:$A$15,0),MATCH(Q103,Paces!$B$4:$K$4,0))))))</f>
        <v>HR under 153</v>
      </c>
      <c r="J103" s="20"/>
      <c r="K103" s="21"/>
      <c r="L103" s="22"/>
      <c r="M103" s="20"/>
      <c r="N103" s="20"/>
      <c r="O103" s="23" t="str">
        <f aca="false">IF(AND(N(K103)&gt;0,N(L103)&gt;0),L103/K103,"")</f>
        <v/>
      </c>
      <c r="P103" s="24"/>
      <c r="Q103" s="17" t="s">
        <v>63</v>
      </c>
    </row>
    <row r="104" customFormat="false" ht="15" hidden="false" customHeight="false" outlineLevel="0" collapsed="false">
      <c r="A104" s="16" t="n">
        <v>46423</v>
      </c>
      <c r="B104" s="17" t="n">
        <v>15</v>
      </c>
      <c r="C104" s="17" t="s">
        <v>132</v>
      </c>
      <c r="D104" s="17" t="s">
        <v>67</v>
      </c>
      <c r="E104" s="17" t="s">
        <v>142</v>
      </c>
      <c r="F104" s="18" t="s">
        <v>143</v>
      </c>
      <c r="G104" s="19" t="n">
        <v>0</v>
      </c>
      <c r="H104" s="17" t="n">
        <f aca="false">IF(C104="Base",'Start here'!$B$7,IF(C104="Build",'Start here'!$B$14,'Start here'!$B$15))</f>
        <v>32</v>
      </c>
      <c r="I104" s="17" t="str">
        <f aca="false">IF(Q104="","",IF(Q104="E","HR under "&amp;ROUND('Start here'!$B$6*0.79,0),IF(Q104="REC","HR under "&amp;ROUND('Start here'!$B$6*0.76,0),IF(Q104="L","HR "&amp;ROUND('Start here'!$B$6*0.73,0)&amp;" to "&amp;ROUND('Start here'!$B$6*0.84,0),INDEX(Paces!$B$5:$K$15,MATCH(H104,Paces!$A$5:$A$15,0),MATCH(Q104,Paces!$B$4:$K$4,0))))))</f>
        <v>HR under 153</v>
      </c>
      <c r="J104" s="20"/>
      <c r="K104" s="21"/>
      <c r="L104" s="22"/>
      <c r="M104" s="20"/>
      <c r="N104" s="20"/>
      <c r="O104" s="23" t="str">
        <f aca="false">IF(AND(N(K104)&gt;0,N(L104)&gt;0),L104/K104,"")</f>
        <v/>
      </c>
      <c r="P104" s="24"/>
      <c r="Q104" s="17" t="s">
        <v>63</v>
      </c>
    </row>
    <row r="105" customFormat="false" ht="23.85" hidden="false" customHeight="false" outlineLevel="0" collapsed="false">
      <c r="A105" s="16" t="n">
        <v>46424</v>
      </c>
      <c r="B105" s="17" t="n">
        <v>15</v>
      </c>
      <c r="C105" s="17" t="s">
        <v>132</v>
      </c>
      <c r="D105" s="17" t="s">
        <v>68</v>
      </c>
      <c r="E105" s="25" t="s">
        <v>144</v>
      </c>
      <c r="F105" s="26" t="s">
        <v>145</v>
      </c>
      <c r="G105" s="19" t="n">
        <v>21.1</v>
      </c>
      <c r="H105" s="17" t="n">
        <f aca="false">IF(C105="Base",'Start here'!$B$7,IF(C105="Build",'Start here'!$B$14,'Start here'!$B$15))</f>
        <v>32</v>
      </c>
      <c r="I105" s="17" t="str">
        <f aca="false">IF(Q105="","",IF(Q105="E","HR under "&amp;ROUND('Start here'!$B$6*0.79,0),IF(Q105="REC","HR under "&amp;ROUND('Start here'!$B$6*0.76,0),IF(Q105="L","HR "&amp;ROUND('Start here'!$B$6*0.73,0)&amp;" to "&amp;ROUND('Start here'!$B$6*0.84,0),INDEX(Paces!$B$5:$K$15,MATCH(H105,Paces!$A$5:$A$15,0),MATCH(Q105,Paces!$B$4:$K$4,0))))))</f>
        <v>6:21/km</v>
      </c>
      <c r="J105" s="20"/>
      <c r="K105" s="21"/>
      <c r="L105" s="22"/>
      <c r="M105" s="20"/>
      <c r="N105" s="20"/>
      <c r="O105" s="23" t="str">
        <f aca="false">IF(AND(N(K105)&gt;0,N(L105)&gt;0),L105/K105,"")</f>
        <v/>
      </c>
      <c r="P105" s="24"/>
      <c r="Q105" s="17" t="s">
        <v>117</v>
      </c>
    </row>
  </sheetData>
  <autoFilter ref="A1:P105"/>
  <conditionalFormatting sqref="A2:I105">
    <cfRule type="expression" priority="2" aboveAverage="0" equalAverage="0" bottom="0" percent="0" rank="0" text="" dxfId="5">
      <formula>$J2="Yes"</formula>
    </cfRule>
    <cfRule type="expression" priority="3" aboveAverage="0" equalAverage="0" bottom="0" percent="0" rank="0" text="" dxfId="6">
      <formula>$E2="Rest"</formula>
    </cfRule>
    <cfRule type="expression" priority="4" aboveAverage="0" equalAverage="0" bottom="0" percent="0" rank="0" text="" dxfId="7">
      <formula>$A2=TODAY()</formula>
    </cfRule>
  </conditionalFormatting>
  <dataValidations count="3">
    <dataValidation allowBlank="true" errorStyle="stop" operator="between" showDropDown="false" showErrorMessage="false" showInputMessage="false" sqref="J2:J105" type="list">
      <formula1>"Yes,No"</formula1>
      <formula2>0</formula2>
    </dataValidation>
    <dataValidation allowBlank="true" error="Feel is a whole number from 1 (very easy) to 5 (very hard)." errorStyle="stop" operator="between" showDropDown="false" showErrorMessage="true" showInputMessage="false" sqref="N2:N105" type="whole">
      <formula1>1</formula1>
      <formula2>5</formula2>
    </dataValidation>
    <dataValidation allowBlank="true" error="Average heart rate should be between 60 and 230." errorStyle="stop" operator="between" showDropDown="false" showErrorMessage="true" showInputMessage="false" sqref="M2:M105" type="whole">
      <formula1>60</formula1>
      <formula2>230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4" min="3" style="0" width="9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27" t="s">
        <v>146</v>
      </c>
    </row>
    <row r="2" customFormat="false" ht="15" hidden="false" customHeight="false" outlineLevel="0" collapsed="false">
      <c r="A2" s="8" t="s">
        <v>147</v>
      </c>
    </row>
    <row r="4" customFormat="false" ht="26.85" hidden="false" customHeight="false" outlineLevel="0" collapsed="false">
      <c r="A4" s="28" t="s">
        <v>42</v>
      </c>
      <c r="B4" s="28" t="s">
        <v>43</v>
      </c>
      <c r="C4" s="28" t="s">
        <v>148</v>
      </c>
      <c r="D4" s="28" t="s">
        <v>149</v>
      </c>
      <c r="E4" s="28" t="s">
        <v>47</v>
      </c>
      <c r="F4" s="28" t="s">
        <v>150</v>
      </c>
      <c r="G4" s="28" t="s">
        <v>151</v>
      </c>
      <c r="H4" s="28" t="s">
        <v>152</v>
      </c>
      <c r="I4" s="28" t="s">
        <v>153</v>
      </c>
    </row>
    <row r="5" customFormat="false" ht="15" hidden="false" customHeight="false" outlineLevel="0" collapsed="false">
      <c r="A5" s="29" t="n">
        <v>1</v>
      </c>
      <c r="B5" s="29" t="s">
        <v>52</v>
      </c>
      <c r="C5" s="30" t="n">
        <v>46321</v>
      </c>
      <c r="D5" s="30" t="n">
        <v>46327</v>
      </c>
      <c r="E5" s="31" t="n">
        <f aca="false">SUMIFS(Plan!$G$2:$G$105,Plan!$B$2:$B$105,A5)</f>
        <v>31.2</v>
      </c>
      <c r="F5" s="29" t="n">
        <f aca="false">COUNTIFS(Plan!$B$2:$B$105,A5,Plan!$E$2:$E$105,"&lt;&gt;Rest")</f>
        <v>5</v>
      </c>
      <c r="G5" s="29" t="n">
        <f aca="false">COUNTIFS(Plan!$B$2:$B$105,A5,Plan!$J$2:$J$105,"Yes")</f>
        <v>0</v>
      </c>
      <c r="H5" s="31" t="n">
        <f aca="false">SUMIFS(Plan!$K$2:$K$105,Plan!$B$2:$B$105,A5,Plan!$J$2:$J$105,"Yes")</f>
        <v>0</v>
      </c>
      <c r="I5" s="32" t="n">
        <f aca="false">IF(E5&gt;0,H5/E5,0)</f>
        <v>0</v>
      </c>
    </row>
    <row r="6" customFormat="false" ht="15" hidden="false" customHeight="false" outlineLevel="0" collapsed="false">
      <c r="A6" s="29" t="n">
        <v>2</v>
      </c>
      <c r="B6" s="29" t="s">
        <v>52</v>
      </c>
      <c r="C6" s="30" t="n">
        <v>46328</v>
      </c>
      <c r="D6" s="30" t="n">
        <v>46334</v>
      </c>
      <c r="E6" s="31" t="n">
        <f aca="false">SUMIFS(Plan!$G$2:$G$105,Plan!$B$2:$B$105,A6)</f>
        <v>32.2</v>
      </c>
      <c r="F6" s="29" t="n">
        <f aca="false">COUNTIFS(Plan!$B$2:$B$105,A6,Plan!$E$2:$E$105,"&lt;&gt;Rest")</f>
        <v>5</v>
      </c>
      <c r="G6" s="29" t="n">
        <f aca="false">COUNTIFS(Plan!$B$2:$B$105,A6,Plan!$J$2:$J$105,"Yes")</f>
        <v>0</v>
      </c>
      <c r="H6" s="31" t="n">
        <f aca="false">SUMIFS(Plan!$K$2:$K$105,Plan!$B$2:$B$105,A6,Plan!$J$2:$J$105,"Yes")</f>
        <v>0</v>
      </c>
      <c r="I6" s="32" t="n">
        <f aca="false">IF(E6&gt;0,H6/E6,0)</f>
        <v>0</v>
      </c>
    </row>
    <row r="7" customFormat="false" ht="15" hidden="false" customHeight="false" outlineLevel="0" collapsed="false">
      <c r="A7" s="29" t="n">
        <v>3</v>
      </c>
      <c r="B7" s="29" t="s">
        <v>52</v>
      </c>
      <c r="C7" s="30" t="n">
        <v>46335</v>
      </c>
      <c r="D7" s="30" t="n">
        <v>46341</v>
      </c>
      <c r="E7" s="31" t="n">
        <f aca="false">SUMIFS(Plan!$G$2:$G$105,Plan!$B$2:$B$105,A7)</f>
        <v>34</v>
      </c>
      <c r="F7" s="29" t="n">
        <f aca="false">COUNTIFS(Plan!$B$2:$B$105,A7,Plan!$E$2:$E$105,"&lt;&gt;Rest")</f>
        <v>5</v>
      </c>
      <c r="G7" s="29" t="n">
        <f aca="false">COUNTIFS(Plan!$B$2:$B$105,A7,Plan!$J$2:$J$105,"Yes")</f>
        <v>0</v>
      </c>
      <c r="H7" s="31" t="n">
        <f aca="false">SUMIFS(Plan!$K$2:$K$105,Plan!$B$2:$B$105,A7,Plan!$J$2:$J$105,"Yes")</f>
        <v>0</v>
      </c>
      <c r="I7" s="32" t="n">
        <f aca="false">IF(E7&gt;0,H7/E7,0)</f>
        <v>0</v>
      </c>
    </row>
    <row r="8" customFormat="false" ht="15" hidden="false" customHeight="false" outlineLevel="0" collapsed="false">
      <c r="A8" s="29" t="n">
        <v>4</v>
      </c>
      <c r="B8" s="29" t="s">
        <v>52</v>
      </c>
      <c r="C8" s="30" t="n">
        <v>46342</v>
      </c>
      <c r="D8" s="30" t="n">
        <v>46348</v>
      </c>
      <c r="E8" s="31" t="n">
        <f aca="false">SUMIFS(Plan!$G$2:$G$105,Plan!$B$2:$B$105,A8)</f>
        <v>27.6</v>
      </c>
      <c r="F8" s="29" t="n">
        <f aca="false">COUNTIFS(Plan!$B$2:$B$105,A8,Plan!$E$2:$E$105,"&lt;&gt;Rest")</f>
        <v>5</v>
      </c>
      <c r="G8" s="29" t="n">
        <f aca="false">COUNTIFS(Plan!$B$2:$B$105,A8,Plan!$J$2:$J$105,"Yes")</f>
        <v>0</v>
      </c>
      <c r="H8" s="31" t="n">
        <f aca="false">SUMIFS(Plan!$K$2:$K$105,Plan!$B$2:$B$105,A8,Plan!$J$2:$J$105,"Yes")</f>
        <v>0</v>
      </c>
      <c r="I8" s="32" t="n">
        <f aca="false">IF(E8&gt;0,H8/E8,0)</f>
        <v>0</v>
      </c>
    </row>
    <row r="9" customFormat="false" ht="15" hidden="false" customHeight="false" outlineLevel="0" collapsed="false">
      <c r="A9" s="29" t="n">
        <v>5</v>
      </c>
      <c r="B9" s="29" t="s">
        <v>88</v>
      </c>
      <c r="C9" s="30" t="n">
        <v>46349</v>
      </c>
      <c r="D9" s="30" t="n">
        <v>46355</v>
      </c>
      <c r="E9" s="31" t="n">
        <f aca="false">SUMIFS(Plan!$G$2:$G$105,Plan!$B$2:$B$105,A9)</f>
        <v>36.5</v>
      </c>
      <c r="F9" s="29" t="n">
        <f aca="false">COUNTIFS(Plan!$B$2:$B$105,A9,Plan!$E$2:$E$105,"&lt;&gt;Rest")</f>
        <v>5</v>
      </c>
      <c r="G9" s="29" t="n">
        <f aca="false">COUNTIFS(Plan!$B$2:$B$105,A9,Plan!$J$2:$J$105,"Yes")</f>
        <v>0</v>
      </c>
      <c r="H9" s="31" t="n">
        <f aca="false">SUMIFS(Plan!$K$2:$K$105,Plan!$B$2:$B$105,A9,Plan!$J$2:$J$105,"Yes")</f>
        <v>0</v>
      </c>
      <c r="I9" s="32" t="n">
        <f aca="false">IF(E9&gt;0,H9/E9,0)</f>
        <v>0</v>
      </c>
    </row>
    <row r="10" customFormat="false" ht="15" hidden="false" customHeight="false" outlineLevel="0" collapsed="false">
      <c r="A10" s="29" t="n">
        <v>6</v>
      </c>
      <c r="B10" s="29" t="s">
        <v>88</v>
      </c>
      <c r="C10" s="30" t="n">
        <v>46356</v>
      </c>
      <c r="D10" s="30" t="n">
        <v>46362</v>
      </c>
      <c r="E10" s="31" t="n">
        <f aca="false">SUMIFS(Plan!$G$2:$G$105,Plan!$B$2:$B$105,A10)</f>
        <v>37.2</v>
      </c>
      <c r="F10" s="29" t="n">
        <f aca="false">COUNTIFS(Plan!$B$2:$B$105,A10,Plan!$E$2:$E$105,"&lt;&gt;Rest")</f>
        <v>5</v>
      </c>
      <c r="G10" s="29" t="n">
        <f aca="false">COUNTIFS(Plan!$B$2:$B$105,A10,Plan!$J$2:$J$105,"Yes")</f>
        <v>0</v>
      </c>
      <c r="H10" s="31" t="n">
        <f aca="false">SUMIFS(Plan!$K$2:$K$105,Plan!$B$2:$B$105,A10,Plan!$J$2:$J$105,"Yes")</f>
        <v>0</v>
      </c>
      <c r="I10" s="32" t="n">
        <f aca="false">IF(E10&gt;0,H10/E10,0)</f>
        <v>0</v>
      </c>
    </row>
    <row r="11" customFormat="false" ht="15" hidden="false" customHeight="false" outlineLevel="0" collapsed="false">
      <c r="A11" s="29" t="n">
        <v>7</v>
      </c>
      <c r="B11" s="29" t="s">
        <v>88</v>
      </c>
      <c r="C11" s="30" t="n">
        <v>46363</v>
      </c>
      <c r="D11" s="30" t="n">
        <v>46369</v>
      </c>
      <c r="E11" s="31" t="n">
        <f aca="false">SUMIFS(Plan!$G$2:$G$105,Plan!$B$2:$B$105,A11)</f>
        <v>38.5</v>
      </c>
      <c r="F11" s="29" t="n">
        <f aca="false">COUNTIFS(Plan!$B$2:$B$105,A11,Plan!$E$2:$E$105,"&lt;&gt;Rest")</f>
        <v>5</v>
      </c>
      <c r="G11" s="29" t="n">
        <f aca="false">COUNTIFS(Plan!$B$2:$B$105,A11,Plan!$J$2:$J$105,"Yes")</f>
        <v>0</v>
      </c>
      <c r="H11" s="31" t="n">
        <f aca="false">SUMIFS(Plan!$K$2:$K$105,Plan!$B$2:$B$105,A11,Plan!$J$2:$J$105,"Yes")</f>
        <v>0</v>
      </c>
      <c r="I11" s="32" t="n">
        <f aca="false">IF(E11&gt;0,H11/E11,0)</f>
        <v>0</v>
      </c>
    </row>
    <row r="12" customFormat="false" ht="15" hidden="false" customHeight="false" outlineLevel="0" collapsed="false">
      <c r="A12" s="29" t="n">
        <v>8</v>
      </c>
      <c r="B12" s="29" t="s">
        <v>88</v>
      </c>
      <c r="C12" s="30" t="n">
        <v>46370</v>
      </c>
      <c r="D12" s="30" t="n">
        <v>46376</v>
      </c>
      <c r="E12" s="31" t="n">
        <f aca="false">SUMIFS(Plan!$G$2:$G$105,Plan!$B$2:$B$105,A12)</f>
        <v>33.1</v>
      </c>
      <c r="F12" s="29" t="n">
        <f aca="false">COUNTIFS(Plan!$B$2:$B$105,A12,Plan!$E$2:$E$105,"&lt;&gt;Rest")</f>
        <v>5</v>
      </c>
      <c r="G12" s="29" t="n">
        <f aca="false">COUNTIFS(Plan!$B$2:$B$105,A12,Plan!$J$2:$J$105,"Yes")</f>
        <v>0</v>
      </c>
      <c r="H12" s="31" t="n">
        <f aca="false">SUMIFS(Plan!$K$2:$K$105,Plan!$B$2:$B$105,A12,Plan!$J$2:$J$105,"Yes")</f>
        <v>0</v>
      </c>
      <c r="I12" s="32" t="n">
        <f aca="false">IF(E12&gt;0,H12/E12,0)</f>
        <v>0</v>
      </c>
    </row>
    <row r="13" customFormat="false" ht="15" hidden="false" customHeight="false" outlineLevel="0" collapsed="false">
      <c r="A13" s="29" t="n">
        <v>9</v>
      </c>
      <c r="B13" s="29" t="s">
        <v>88</v>
      </c>
      <c r="C13" s="30" t="n">
        <v>46377</v>
      </c>
      <c r="D13" s="30" t="n">
        <v>46383</v>
      </c>
      <c r="E13" s="31" t="n">
        <f aca="false">SUMIFS(Plan!$G$2:$G$105,Plan!$B$2:$B$105,A13)</f>
        <v>35.8</v>
      </c>
      <c r="F13" s="29" t="n">
        <f aca="false">COUNTIFS(Plan!$B$2:$B$105,A13,Plan!$E$2:$E$105,"&lt;&gt;Rest")</f>
        <v>5</v>
      </c>
      <c r="G13" s="29" t="n">
        <f aca="false">COUNTIFS(Plan!$B$2:$B$105,A13,Plan!$J$2:$J$105,"Yes")</f>
        <v>0</v>
      </c>
      <c r="H13" s="31" t="n">
        <f aca="false">SUMIFS(Plan!$K$2:$K$105,Plan!$B$2:$B$105,A13,Plan!$J$2:$J$105,"Yes")</f>
        <v>0</v>
      </c>
      <c r="I13" s="32" t="n">
        <f aca="false">IF(E13&gt;0,H13/E13,0)</f>
        <v>0</v>
      </c>
    </row>
    <row r="14" customFormat="false" ht="15" hidden="false" customHeight="false" outlineLevel="0" collapsed="false">
      <c r="A14" s="29" t="n">
        <v>10</v>
      </c>
      <c r="B14" s="29" t="s">
        <v>116</v>
      </c>
      <c r="C14" s="30" t="n">
        <v>46384</v>
      </c>
      <c r="D14" s="30" t="n">
        <v>46390</v>
      </c>
      <c r="E14" s="31" t="n">
        <f aca="false">SUMIFS(Plan!$G$2:$G$105,Plan!$B$2:$B$105,A14)</f>
        <v>40.1</v>
      </c>
      <c r="F14" s="29" t="n">
        <f aca="false">COUNTIFS(Plan!$B$2:$B$105,A14,Plan!$E$2:$E$105,"&lt;&gt;Rest")</f>
        <v>5</v>
      </c>
      <c r="G14" s="29" t="n">
        <f aca="false">COUNTIFS(Plan!$B$2:$B$105,A14,Plan!$J$2:$J$105,"Yes")</f>
        <v>0</v>
      </c>
      <c r="H14" s="31" t="n">
        <f aca="false">SUMIFS(Plan!$K$2:$K$105,Plan!$B$2:$B$105,A14,Plan!$J$2:$J$105,"Yes")</f>
        <v>0</v>
      </c>
      <c r="I14" s="32" t="n">
        <f aca="false">IF(E14&gt;0,H14/E14,0)</f>
        <v>0</v>
      </c>
    </row>
    <row r="15" customFormat="false" ht="15" hidden="false" customHeight="false" outlineLevel="0" collapsed="false">
      <c r="A15" s="29" t="n">
        <v>11</v>
      </c>
      <c r="B15" s="29" t="s">
        <v>116</v>
      </c>
      <c r="C15" s="30" t="n">
        <v>46391</v>
      </c>
      <c r="D15" s="30" t="n">
        <v>46397</v>
      </c>
      <c r="E15" s="31" t="n">
        <f aca="false">SUMIFS(Plan!$G$2:$G$105,Plan!$B$2:$B$105,A15)</f>
        <v>39.8</v>
      </c>
      <c r="F15" s="29" t="n">
        <f aca="false">COUNTIFS(Plan!$B$2:$B$105,A15,Plan!$E$2:$E$105,"&lt;&gt;Rest")</f>
        <v>5</v>
      </c>
      <c r="G15" s="29" t="n">
        <f aca="false">COUNTIFS(Plan!$B$2:$B$105,A15,Plan!$J$2:$J$105,"Yes")</f>
        <v>0</v>
      </c>
      <c r="H15" s="31" t="n">
        <f aca="false">SUMIFS(Plan!$K$2:$K$105,Plan!$B$2:$B$105,A15,Plan!$J$2:$J$105,"Yes")</f>
        <v>0</v>
      </c>
      <c r="I15" s="32" t="n">
        <f aca="false">IF(E15&gt;0,H15/E15,0)</f>
        <v>0</v>
      </c>
    </row>
    <row r="16" customFormat="false" ht="15" hidden="false" customHeight="false" outlineLevel="0" collapsed="false">
      <c r="A16" s="29" t="n">
        <v>12</v>
      </c>
      <c r="B16" s="29" t="s">
        <v>116</v>
      </c>
      <c r="C16" s="30" t="n">
        <v>46398</v>
      </c>
      <c r="D16" s="30" t="n">
        <v>46404</v>
      </c>
      <c r="E16" s="31" t="n">
        <f aca="false">SUMIFS(Plan!$G$2:$G$105,Plan!$B$2:$B$105,A16)</f>
        <v>41.1</v>
      </c>
      <c r="F16" s="29" t="n">
        <f aca="false">COUNTIFS(Plan!$B$2:$B$105,A16,Plan!$E$2:$E$105,"&lt;&gt;Rest")</f>
        <v>5</v>
      </c>
      <c r="G16" s="29" t="n">
        <f aca="false">COUNTIFS(Plan!$B$2:$B$105,A16,Plan!$J$2:$J$105,"Yes")</f>
        <v>0</v>
      </c>
      <c r="H16" s="31" t="n">
        <f aca="false">SUMIFS(Plan!$K$2:$K$105,Plan!$B$2:$B$105,A16,Plan!$J$2:$J$105,"Yes")</f>
        <v>0</v>
      </c>
      <c r="I16" s="32" t="n">
        <f aca="false">IF(E16&gt;0,H16/E16,0)</f>
        <v>0</v>
      </c>
    </row>
    <row r="17" customFormat="false" ht="15" hidden="false" customHeight="false" outlineLevel="0" collapsed="false">
      <c r="A17" s="29" t="n">
        <v>13</v>
      </c>
      <c r="B17" s="29" t="s">
        <v>116</v>
      </c>
      <c r="C17" s="30" t="n">
        <v>46405</v>
      </c>
      <c r="D17" s="30" t="n">
        <v>46411</v>
      </c>
      <c r="E17" s="31" t="n">
        <f aca="false">SUMIFS(Plan!$G$2:$G$105,Plan!$B$2:$B$105,A17)</f>
        <v>33.8</v>
      </c>
      <c r="F17" s="29" t="n">
        <f aca="false">COUNTIFS(Plan!$B$2:$B$105,A17,Plan!$E$2:$E$105,"&lt;&gt;Rest")</f>
        <v>5</v>
      </c>
      <c r="G17" s="29" t="n">
        <f aca="false">COUNTIFS(Plan!$B$2:$B$105,A17,Plan!$J$2:$J$105,"Yes")</f>
        <v>0</v>
      </c>
      <c r="H17" s="31" t="n">
        <f aca="false">SUMIFS(Plan!$K$2:$K$105,Plan!$B$2:$B$105,A17,Plan!$J$2:$J$105,"Yes")</f>
        <v>0</v>
      </c>
      <c r="I17" s="32" t="n">
        <f aca="false">IF(E17&gt;0,H17/E17,0)</f>
        <v>0</v>
      </c>
    </row>
    <row r="18" customFormat="false" ht="15" hidden="false" customHeight="false" outlineLevel="0" collapsed="false">
      <c r="A18" s="29" t="n">
        <v>14</v>
      </c>
      <c r="B18" s="29" t="s">
        <v>132</v>
      </c>
      <c r="C18" s="30" t="n">
        <v>46412</v>
      </c>
      <c r="D18" s="30" t="n">
        <v>46418</v>
      </c>
      <c r="E18" s="31" t="n">
        <f aca="false">SUMIFS(Plan!$G$2:$G$105,Plan!$B$2:$B$105,A18)</f>
        <v>33</v>
      </c>
      <c r="F18" s="29" t="n">
        <f aca="false">COUNTIFS(Plan!$B$2:$B$105,A18,Plan!$E$2:$E$105,"&lt;&gt;Rest")</f>
        <v>5</v>
      </c>
      <c r="G18" s="29" t="n">
        <f aca="false">COUNTIFS(Plan!$B$2:$B$105,A18,Plan!$J$2:$J$105,"Yes")</f>
        <v>0</v>
      </c>
      <c r="H18" s="31" t="n">
        <f aca="false">SUMIFS(Plan!$K$2:$K$105,Plan!$B$2:$B$105,A18,Plan!$J$2:$J$105,"Yes")</f>
        <v>0</v>
      </c>
      <c r="I18" s="32" t="n">
        <f aca="false">IF(E18&gt;0,H18/E18,0)</f>
        <v>0</v>
      </c>
    </row>
    <row r="19" customFormat="false" ht="15" hidden="false" customHeight="false" outlineLevel="0" collapsed="false">
      <c r="A19" s="29" t="n">
        <v>15</v>
      </c>
      <c r="B19" s="29" t="s">
        <v>132</v>
      </c>
      <c r="C19" s="30" t="n">
        <v>46419</v>
      </c>
      <c r="D19" s="30" t="n">
        <v>46424</v>
      </c>
      <c r="E19" s="31" t="n">
        <f aca="false">SUMIFS(Plan!$G$2:$G$105,Plan!$B$2:$B$105,A19)</f>
        <v>37.5</v>
      </c>
      <c r="F19" s="29" t="n">
        <f aca="false">COUNTIFS(Plan!$B$2:$B$105,A19,Plan!$E$2:$E$105,"&lt;&gt;Rest")</f>
        <v>6</v>
      </c>
      <c r="G19" s="29" t="n">
        <f aca="false">COUNTIFS(Plan!$B$2:$B$105,A19,Plan!$J$2:$J$105,"Yes")</f>
        <v>0</v>
      </c>
      <c r="H19" s="31" t="n">
        <f aca="false">SUMIFS(Plan!$K$2:$K$105,Plan!$B$2:$B$105,A19,Plan!$J$2:$J$105,"Yes")</f>
        <v>0</v>
      </c>
      <c r="I19" s="32" t="n">
        <f aca="false">IF(E19&gt;0,H19/E19,0)</f>
        <v>0</v>
      </c>
    </row>
    <row r="20" customFormat="false" ht="15" hidden="false" customHeight="false" outlineLevel="0" collapsed="false">
      <c r="A20" s="3" t="s">
        <v>154</v>
      </c>
      <c r="E20" s="33" t="n">
        <f aca="false">SUM(E5:E19)</f>
        <v>531.4</v>
      </c>
      <c r="F20" s="9" t="n">
        <f aca="false">SUM(F5:F19)</f>
        <v>76</v>
      </c>
      <c r="G20" s="9" t="n">
        <f aca="false">SUM(G5:G19)</f>
        <v>0</v>
      </c>
      <c r="H20" s="33" t="n">
        <f aca="false">SUM(H5:H19)</f>
        <v>0</v>
      </c>
      <c r="I20" s="34" t="n">
        <f aca="false">IF(E20&gt;0,H20/E20,0)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false" outlineLevel="0" max="9" min="8" style="0" width="15"/>
    <col collapsed="false" customWidth="true" hidden="false" outlineLevel="0" max="10" min="10" style="0" width="10"/>
    <col collapsed="false" customWidth="true" hidden="false" outlineLevel="0" max="11" min="11" style="0" width="15"/>
  </cols>
  <sheetData>
    <row r="1" customFormat="false" ht="17.35" hidden="false" customHeight="false" outlineLevel="0" collapsed="false">
      <c r="A1" s="27" t="s">
        <v>155</v>
      </c>
    </row>
    <row r="2" customFormat="false" ht="15" hidden="false" customHeight="false" outlineLevel="0" collapsed="false">
      <c r="A2" s="35" t="s">
        <v>156</v>
      </c>
    </row>
    <row r="4" customFormat="false" ht="15" hidden="false" customHeight="false" outlineLevel="0" collapsed="false">
      <c r="A4" s="15" t="s">
        <v>48</v>
      </c>
      <c r="B4" s="15" t="s">
        <v>157</v>
      </c>
      <c r="C4" s="15" t="s">
        <v>158</v>
      </c>
      <c r="D4" s="15" t="s">
        <v>159</v>
      </c>
      <c r="E4" s="15" t="s">
        <v>117</v>
      </c>
      <c r="F4" s="15" t="s">
        <v>59</v>
      </c>
      <c r="G4" s="15" t="s">
        <v>100</v>
      </c>
      <c r="H4" s="15" t="s">
        <v>93</v>
      </c>
      <c r="I4" s="15" t="s">
        <v>106</v>
      </c>
      <c r="J4" s="15" t="s">
        <v>103</v>
      </c>
      <c r="K4" s="15" t="s">
        <v>160</v>
      </c>
    </row>
    <row r="5" customFormat="false" ht="15" hidden="false" customHeight="false" outlineLevel="0" collapsed="false">
      <c r="A5" s="29" t="n">
        <v>30</v>
      </c>
      <c r="B5" s="36" t="n">
        <v>0.0212962962962963</v>
      </c>
      <c r="C5" s="36" t="n">
        <v>0.0442824074074074</v>
      </c>
      <c r="D5" s="37" t="n">
        <v>0.097962962962963</v>
      </c>
      <c r="E5" s="29" t="str">
        <f aca="false">INT(ROUND(D5*86400/21.0975,0)/60)&amp;":"&amp;TEXT(MOD(ROUND(D5*86400/21.0975,0),60),"00")&amp;"/km"</f>
        <v>6:41/km</v>
      </c>
      <c r="F5" s="29" t="s">
        <v>161</v>
      </c>
      <c r="G5" s="29" t="s">
        <v>162</v>
      </c>
      <c r="H5" s="29" t="s">
        <v>163</v>
      </c>
      <c r="I5" s="29" t="s">
        <v>164</v>
      </c>
      <c r="J5" s="29" t="s">
        <v>165</v>
      </c>
      <c r="K5" s="29" t="s">
        <v>166</v>
      </c>
    </row>
    <row r="6" customFormat="false" ht="15" hidden="false" customHeight="false" outlineLevel="0" collapsed="false">
      <c r="A6" s="29" t="n">
        <v>31</v>
      </c>
      <c r="B6" s="36" t="n">
        <v>0.0207291666666667</v>
      </c>
      <c r="C6" s="36" t="n">
        <v>0.0430902777777778</v>
      </c>
      <c r="D6" s="37" t="n">
        <v>0.0953819444444445</v>
      </c>
      <c r="E6" s="29" t="str">
        <f aca="false">INT(ROUND(D6*86400/21.0975,0)/60)&amp;":"&amp;TEXT(MOD(ROUND(D6*86400/21.0975,0),60),"00")&amp;"/km"</f>
        <v>6:31/km</v>
      </c>
      <c r="F6" s="29" t="s">
        <v>167</v>
      </c>
      <c r="G6" s="29" t="s">
        <v>168</v>
      </c>
      <c r="H6" s="29" t="s">
        <v>169</v>
      </c>
      <c r="I6" s="29" t="s">
        <v>170</v>
      </c>
      <c r="J6" s="29" t="s">
        <v>171</v>
      </c>
      <c r="K6" s="29" t="s">
        <v>172</v>
      </c>
    </row>
    <row r="7" customFormat="false" ht="15" hidden="false" customHeight="false" outlineLevel="0" collapsed="false">
      <c r="A7" s="29" t="n">
        <v>32</v>
      </c>
      <c r="B7" s="36" t="n">
        <v>0.0201967592592593</v>
      </c>
      <c r="C7" s="36" t="n">
        <v>0.0419675925925926</v>
      </c>
      <c r="D7" s="37" t="n">
        <v>0.0929282407407407</v>
      </c>
      <c r="E7" s="29" t="str">
        <f aca="false">INT(ROUND(D7*86400/21.0975,0)/60)&amp;":"&amp;TEXT(MOD(ROUND(D7*86400/21.0975,0),60),"00")&amp;"/km"</f>
        <v>6:21/km</v>
      </c>
      <c r="F7" s="29" t="s">
        <v>173</v>
      </c>
      <c r="G7" s="29" t="s">
        <v>174</v>
      </c>
      <c r="H7" s="29" t="s">
        <v>175</v>
      </c>
      <c r="I7" s="29" t="s">
        <v>176</v>
      </c>
      <c r="J7" s="29" t="s">
        <v>177</v>
      </c>
      <c r="K7" s="29" t="s">
        <v>178</v>
      </c>
    </row>
    <row r="8" customFormat="false" ht="15" hidden="false" customHeight="false" outlineLevel="0" collapsed="false">
      <c r="A8" s="29" t="n">
        <v>33</v>
      </c>
      <c r="B8" s="36" t="n">
        <v>0.0196875</v>
      </c>
      <c r="C8" s="36" t="n">
        <v>0.0409027777777778</v>
      </c>
      <c r="D8" s="37" t="n">
        <v>0.0905902777777778</v>
      </c>
      <c r="E8" s="29" t="str">
        <f aca="false">INT(ROUND(D8*86400/21.0975,0)/60)&amp;":"&amp;TEXT(MOD(ROUND(D8*86400/21.0975,0),60),"00")&amp;"/km"</f>
        <v>6:11/km</v>
      </c>
      <c r="F8" s="29" t="s">
        <v>179</v>
      </c>
      <c r="G8" s="29" t="s">
        <v>180</v>
      </c>
      <c r="H8" s="29" t="s">
        <v>181</v>
      </c>
      <c r="I8" s="29" t="s">
        <v>182</v>
      </c>
      <c r="J8" s="29" t="s">
        <v>183</v>
      </c>
      <c r="K8" s="29" t="s">
        <v>184</v>
      </c>
    </row>
    <row r="9" customFormat="false" ht="15" hidden="false" customHeight="false" outlineLevel="0" collapsed="false">
      <c r="A9" s="29" t="n">
        <v>34</v>
      </c>
      <c r="B9" s="36" t="n">
        <v>0.0192013888888889</v>
      </c>
      <c r="C9" s="36" t="n">
        <v>0.0398842592592593</v>
      </c>
      <c r="D9" s="37" t="n">
        <v>0.0883796296296296</v>
      </c>
      <c r="E9" s="29" t="str">
        <f aca="false">INT(ROUND(D9*86400/21.0975,0)/60)&amp;":"&amp;TEXT(MOD(ROUND(D9*86400/21.0975,0),60),"00")&amp;"/km"</f>
        <v>6:02/km</v>
      </c>
      <c r="F9" s="29" t="s">
        <v>185</v>
      </c>
      <c r="G9" s="29" t="s">
        <v>186</v>
      </c>
      <c r="H9" s="29" t="s">
        <v>187</v>
      </c>
      <c r="I9" s="29" t="s">
        <v>188</v>
      </c>
      <c r="J9" s="29" t="s">
        <v>189</v>
      </c>
      <c r="K9" s="29" t="s">
        <v>190</v>
      </c>
    </row>
    <row r="10" customFormat="false" ht="15" hidden="false" customHeight="false" outlineLevel="0" collapsed="false">
      <c r="A10" s="29" t="n">
        <v>35</v>
      </c>
      <c r="B10" s="36" t="n">
        <v>0.01875</v>
      </c>
      <c r="C10" s="36" t="n">
        <v>0.0389236111111111</v>
      </c>
      <c r="D10" s="37" t="n">
        <v>0.0862615740740741</v>
      </c>
      <c r="E10" s="29" t="str">
        <f aca="false">INT(ROUND(D10*86400/21.0975,0)/60)&amp;":"&amp;TEXT(MOD(ROUND(D10*86400/21.0975,0),60),"00")&amp;"/km"</f>
        <v>5:53/km</v>
      </c>
      <c r="F10" s="29" t="s">
        <v>191</v>
      </c>
      <c r="G10" s="29" t="s">
        <v>192</v>
      </c>
      <c r="H10" s="29" t="s">
        <v>193</v>
      </c>
      <c r="I10" s="29" t="s">
        <v>194</v>
      </c>
      <c r="J10" s="29" t="s">
        <v>195</v>
      </c>
      <c r="K10" s="29" t="s">
        <v>196</v>
      </c>
    </row>
    <row r="11" customFormat="false" ht="15" hidden="false" customHeight="false" outlineLevel="0" collapsed="false">
      <c r="A11" s="29" t="n">
        <v>36</v>
      </c>
      <c r="B11" s="36" t="n">
        <v>0.0183101851851852</v>
      </c>
      <c r="C11" s="36" t="n">
        <v>0.0380092592592593</v>
      </c>
      <c r="D11" s="37" t="n">
        <v>0.0842476851851852</v>
      </c>
      <c r="E11" s="29" t="str">
        <f aca="false">INT(ROUND(D11*86400/21.0975,0)/60)&amp;":"&amp;TEXT(MOD(ROUND(D11*86400/21.0975,0),60),"00")&amp;"/km"</f>
        <v>5:45/km</v>
      </c>
      <c r="F11" s="29" t="s">
        <v>197</v>
      </c>
      <c r="G11" s="29" t="s">
        <v>198</v>
      </c>
      <c r="H11" s="29" t="s">
        <v>199</v>
      </c>
      <c r="I11" s="29" t="s">
        <v>200</v>
      </c>
      <c r="J11" s="29" t="s">
        <v>201</v>
      </c>
      <c r="K11" s="29" t="s">
        <v>202</v>
      </c>
    </row>
    <row r="12" customFormat="false" ht="15" hidden="false" customHeight="false" outlineLevel="0" collapsed="false">
      <c r="A12" s="29" t="n">
        <v>37</v>
      </c>
      <c r="B12" s="36" t="n">
        <v>0.0178935185185185</v>
      </c>
      <c r="C12" s="36" t="n">
        <v>0.0371412037037037</v>
      </c>
      <c r="D12" s="37" t="n">
        <v>0.082337962962963</v>
      </c>
      <c r="E12" s="29" t="str">
        <f aca="false">INT(ROUND(D12*86400/21.0975,0)/60)&amp;":"&amp;TEXT(MOD(ROUND(D12*86400/21.0975,0),60),"00")&amp;"/km"</f>
        <v>5:37/km</v>
      </c>
      <c r="F12" s="29" t="s">
        <v>203</v>
      </c>
      <c r="G12" s="29" t="s">
        <v>204</v>
      </c>
      <c r="H12" s="29" t="s">
        <v>205</v>
      </c>
      <c r="I12" s="29" t="s">
        <v>206</v>
      </c>
      <c r="J12" s="29" t="s">
        <v>207</v>
      </c>
      <c r="K12" s="29" t="s">
        <v>208</v>
      </c>
    </row>
    <row r="13" customFormat="false" ht="15" hidden="false" customHeight="false" outlineLevel="0" collapsed="false">
      <c r="A13" s="29" t="n">
        <v>38</v>
      </c>
      <c r="B13" s="36" t="n">
        <v>0.0175</v>
      </c>
      <c r="C13" s="36" t="n">
        <v>0.0363078703703704</v>
      </c>
      <c r="D13" s="37" t="n">
        <v>0.0804976851851852</v>
      </c>
      <c r="E13" s="29" t="str">
        <f aca="false">INT(ROUND(D13*86400/21.0975,0)/60)&amp;":"&amp;TEXT(MOD(ROUND(D13*86400/21.0975,0),60),"00")&amp;"/km"</f>
        <v>5:30/km</v>
      </c>
      <c r="F13" s="29" t="s">
        <v>209</v>
      </c>
      <c r="G13" s="29" t="s">
        <v>210</v>
      </c>
      <c r="H13" s="29" t="s">
        <v>211</v>
      </c>
      <c r="I13" s="29" t="s">
        <v>212</v>
      </c>
      <c r="J13" s="29" t="s">
        <v>213</v>
      </c>
      <c r="K13" s="29" t="s">
        <v>214</v>
      </c>
    </row>
    <row r="14" customFormat="false" ht="15" hidden="false" customHeight="false" outlineLevel="0" collapsed="false">
      <c r="A14" s="29" t="n">
        <v>39</v>
      </c>
      <c r="B14" s="36" t="n">
        <v>0.0171180555555556</v>
      </c>
      <c r="C14" s="36" t="n">
        <v>0.0355208333333333</v>
      </c>
      <c r="D14" s="37" t="n">
        <v>0.07875</v>
      </c>
      <c r="E14" s="29" t="str">
        <f aca="false">INT(ROUND(D14*86400/21.0975,0)/60)&amp;":"&amp;TEXT(MOD(ROUND(D14*86400/21.0975,0),60),"00")&amp;"/km"</f>
        <v>5:23/km</v>
      </c>
      <c r="F14" s="29" t="s">
        <v>215</v>
      </c>
      <c r="G14" s="29" t="s">
        <v>216</v>
      </c>
      <c r="H14" s="29" t="s">
        <v>217</v>
      </c>
      <c r="I14" s="29" t="s">
        <v>218</v>
      </c>
      <c r="J14" s="29" t="s">
        <v>219</v>
      </c>
      <c r="K14" s="29" t="s">
        <v>220</v>
      </c>
    </row>
    <row r="15" customFormat="false" ht="15" hidden="false" customHeight="false" outlineLevel="0" collapsed="false">
      <c r="A15" s="29" t="n">
        <v>40</v>
      </c>
      <c r="B15" s="36" t="n">
        <v>0.0167592592592593</v>
      </c>
      <c r="C15" s="36" t="n">
        <v>0.0347569444444444</v>
      </c>
      <c r="D15" s="37" t="n">
        <v>0.0770717592592593</v>
      </c>
      <c r="E15" s="29" t="str">
        <f aca="false">INT(ROUND(D15*86400/21.0975,0)/60)&amp;":"&amp;TEXT(MOD(ROUND(D15*86400/21.0975,0),60),"00")&amp;"/km"</f>
        <v>5:16/km</v>
      </c>
      <c r="F15" s="29" t="s">
        <v>221</v>
      </c>
      <c r="G15" s="29" t="s">
        <v>222</v>
      </c>
      <c r="H15" s="29" t="s">
        <v>223</v>
      </c>
      <c r="I15" s="29" t="s">
        <v>224</v>
      </c>
      <c r="J15" s="29" t="s">
        <v>225</v>
      </c>
      <c r="K15" s="29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50"/>
  </cols>
  <sheetData>
    <row r="1" customFormat="false" ht="16.15" hidden="false" customHeight="false" outlineLevel="0" collapsed="false">
      <c r="A1" s="38" t="s">
        <v>227</v>
      </c>
    </row>
    <row r="2" customFormat="false" ht="15" hidden="false" customHeight="false" outlineLevel="0" collapsed="false">
      <c r="A2" s="39" t="s">
        <v>228</v>
      </c>
      <c r="B2" s="39" t="s">
        <v>229</v>
      </c>
      <c r="C2" s="39" t="s">
        <v>33</v>
      </c>
    </row>
    <row r="3" customFormat="false" ht="26.85" hidden="false" customHeight="false" outlineLevel="0" collapsed="false">
      <c r="A3" s="40" t="s">
        <v>230</v>
      </c>
      <c r="B3" s="40" t="s">
        <v>231</v>
      </c>
      <c r="C3" s="40" t="s">
        <v>232</v>
      </c>
    </row>
    <row r="4" customFormat="false" ht="15" hidden="false" customHeight="false" outlineLevel="0" collapsed="false">
      <c r="A4" s="40" t="s">
        <v>233</v>
      </c>
      <c r="B4" s="40" t="s">
        <v>234</v>
      </c>
      <c r="C4" s="40"/>
    </row>
    <row r="5" customFormat="false" ht="15" hidden="false" customHeight="false" outlineLevel="0" collapsed="false">
      <c r="A5" s="40" t="s">
        <v>235</v>
      </c>
      <c r="B5" s="40" t="s">
        <v>236</v>
      </c>
      <c r="C5" s="40"/>
    </row>
    <row r="6" customFormat="false" ht="15" hidden="false" customHeight="false" outlineLevel="0" collapsed="false">
      <c r="A6" s="40" t="s">
        <v>237</v>
      </c>
      <c r="B6" s="40" t="s">
        <v>238</v>
      </c>
      <c r="C6" s="40" t="s">
        <v>239</v>
      </c>
    </row>
    <row r="7" customFormat="false" ht="15" hidden="false" customHeight="false" outlineLevel="0" collapsed="false">
      <c r="A7" s="40" t="s">
        <v>240</v>
      </c>
      <c r="B7" s="40" t="s">
        <v>241</v>
      </c>
      <c r="C7" s="40" t="s">
        <v>242</v>
      </c>
    </row>
    <row r="8" customFormat="false" ht="15" hidden="false" customHeight="false" outlineLevel="0" collapsed="false">
      <c r="A8" s="40" t="s">
        <v>243</v>
      </c>
      <c r="B8" s="40" t="s">
        <v>244</v>
      </c>
      <c r="C8" s="40"/>
    </row>
    <row r="10" customFormat="false" ht="16.15" hidden="false" customHeight="false" outlineLevel="0" collapsed="false">
      <c r="A10" s="38" t="s">
        <v>245</v>
      </c>
    </row>
    <row r="11" customFormat="false" ht="15" hidden="false" customHeight="false" outlineLevel="0" collapsed="false">
      <c r="A11" s="39" t="s">
        <v>228</v>
      </c>
      <c r="B11" s="39" t="s">
        <v>229</v>
      </c>
      <c r="C11" s="39" t="s">
        <v>33</v>
      </c>
    </row>
    <row r="12" customFormat="false" ht="15" hidden="false" customHeight="false" outlineLevel="0" collapsed="false">
      <c r="A12" s="40" t="s">
        <v>246</v>
      </c>
      <c r="B12" s="40" t="s">
        <v>247</v>
      </c>
      <c r="C12" s="40" t="s">
        <v>248</v>
      </c>
    </row>
    <row r="13" customFormat="false" ht="15" hidden="false" customHeight="false" outlineLevel="0" collapsed="false">
      <c r="A13" s="40" t="s">
        <v>249</v>
      </c>
      <c r="B13" s="40" t="s">
        <v>231</v>
      </c>
      <c r="C13" s="40" t="s">
        <v>250</v>
      </c>
    </row>
    <row r="14" customFormat="false" ht="15" hidden="false" customHeight="false" outlineLevel="0" collapsed="false">
      <c r="A14" s="40" t="s">
        <v>251</v>
      </c>
      <c r="B14" s="40" t="s">
        <v>252</v>
      </c>
      <c r="C14" s="40" t="s">
        <v>253</v>
      </c>
    </row>
    <row r="15" customFormat="false" ht="15" hidden="false" customHeight="false" outlineLevel="0" collapsed="false">
      <c r="A15" s="40" t="s">
        <v>254</v>
      </c>
      <c r="B15" s="40" t="s">
        <v>255</v>
      </c>
      <c r="C15" s="40"/>
    </row>
    <row r="16" customFormat="false" ht="26.85" hidden="false" customHeight="false" outlineLevel="0" collapsed="false">
      <c r="A16" s="40" t="s">
        <v>256</v>
      </c>
      <c r="B16" s="40" t="s">
        <v>257</v>
      </c>
      <c r="C16" s="40" t="s">
        <v>258</v>
      </c>
    </row>
    <row r="17" customFormat="false" ht="15" hidden="false" customHeight="false" outlineLevel="0" collapsed="false">
      <c r="A17" s="40" t="s">
        <v>243</v>
      </c>
      <c r="B17" s="40" t="s">
        <v>244</v>
      </c>
      <c r="C17" s="40"/>
    </row>
    <row r="19" customFormat="false" ht="16.15" hidden="false" customHeight="false" outlineLevel="0" collapsed="false">
      <c r="A19" s="38" t="s">
        <v>259</v>
      </c>
    </row>
    <row r="20" customFormat="false" ht="15" hidden="false" customHeight="false" outlineLevel="0" collapsed="false">
      <c r="A20" s="39" t="s">
        <v>260</v>
      </c>
      <c r="B20" s="39" t="s">
        <v>261</v>
      </c>
      <c r="C20" s="39"/>
    </row>
    <row r="21" customFormat="false" ht="15" hidden="false" customHeight="false" outlineLevel="0" collapsed="false">
      <c r="A21" s="40" t="s">
        <v>262</v>
      </c>
      <c r="B21" s="40" t="s">
        <v>263</v>
      </c>
      <c r="C21" s="40" t="s">
        <v>264</v>
      </c>
    </row>
    <row r="22" customFormat="false" ht="26.85" hidden="false" customHeight="false" outlineLevel="0" collapsed="false">
      <c r="A22" s="40" t="s">
        <v>265</v>
      </c>
      <c r="B22" s="40" t="s">
        <v>266</v>
      </c>
      <c r="C22" s="40" t="s">
        <v>267</v>
      </c>
    </row>
    <row r="23" customFormat="false" ht="15" hidden="false" customHeight="false" outlineLevel="0" collapsed="false">
      <c r="A23" s="40" t="s">
        <v>268</v>
      </c>
      <c r="B23" s="40" t="s">
        <v>269</v>
      </c>
      <c r="C23" s="40" t="s">
        <v>270</v>
      </c>
    </row>
    <row r="24" customFormat="false" ht="15" hidden="false" customHeight="false" outlineLevel="0" collapsed="false">
      <c r="A24" s="40" t="s">
        <v>271</v>
      </c>
      <c r="B24" s="40" t="s">
        <v>272</v>
      </c>
      <c r="C24" s="40" t="s">
        <v>273</v>
      </c>
    </row>
    <row r="26" customFormat="false" ht="16.15" hidden="false" customHeight="false" outlineLevel="0" collapsed="false">
      <c r="A26" s="38" t="s">
        <v>274</v>
      </c>
    </row>
    <row r="27" customFormat="false" ht="15" hidden="false" customHeight="false" outlineLevel="0" collapsed="false">
      <c r="A27" s="39" t="s">
        <v>275</v>
      </c>
      <c r="B27" s="39" t="s">
        <v>276</v>
      </c>
      <c r="C27" s="39" t="s">
        <v>277</v>
      </c>
    </row>
    <row r="28" customFormat="false" ht="39.55" hidden="false" customHeight="false" outlineLevel="0" collapsed="false">
      <c r="A28" s="40" t="s">
        <v>278</v>
      </c>
      <c r="B28" s="40" t="s">
        <v>279</v>
      </c>
      <c r="C28" s="40" t="s">
        <v>280</v>
      </c>
    </row>
    <row r="29" customFormat="false" ht="39.55" hidden="false" customHeight="false" outlineLevel="0" collapsed="false">
      <c r="A29" s="40" t="s">
        <v>281</v>
      </c>
      <c r="B29" s="40" t="s">
        <v>282</v>
      </c>
      <c r="C29" s="40" t="s">
        <v>283</v>
      </c>
    </row>
    <row r="31" customFormat="false" ht="15" hidden="false" customHeight="false" outlineLevel="0" collapsed="false">
      <c r="A31" s="35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2026-10-25T12:52:04Z</dcterms:created>
  <dc:creator>openpyxl</dc:creator>
  <dc:description/>
  <dc:language>en-US</dc:language>
  <cp:lastModifiedBy/>
  <dcterms:modified xsi:type="dcterms:W3CDTF">2026-10-25T20:52:06Z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